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Dev\05_Projects\Professional\casa-julian-whatsapp\tarjetas_regalo\"/>
    </mc:Choice>
  </mc:AlternateContent>
  <xr:revisionPtr revIDLastSave="0" documentId="8_{D44FA3E4-A535-49A4-B774-610C67BC2F5C}" xr6:coauthVersionLast="47" xr6:coauthVersionMax="47" xr10:uidLastSave="{00000000-0000-0000-0000-000000000000}"/>
  <bookViews>
    <workbookView xWindow="-98" yWindow="-98" windowWidth="21795" windowHeight="12975" xr2:uid="{43B7212A-CA7E-4B89-A5E0-ED1920CCA09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202" i="1" l="1"/>
  <c r="P542" i="1"/>
  <c r="P541" i="1"/>
  <c r="P540" i="1"/>
  <c r="P539" i="1"/>
  <c r="P538" i="1"/>
  <c r="P537" i="1"/>
  <c r="P536" i="1"/>
  <c r="P535" i="1"/>
  <c r="P534" i="1"/>
  <c r="P533" i="1"/>
  <c r="P532" i="1"/>
  <c r="P531" i="1"/>
  <c r="P530" i="1"/>
  <c r="P529" i="1"/>
  <c r="P528" i="1"/>
  <c r="P527" i="1"/>
  <c r="P526" i="1"/>
  <c r="P525" i="1"/>
  <c r="P524" i="1"/>
  <c r="P523" i="1"/>
  <c r="P522" i="1"/>
  <c r="P521" i="1"/>
  <c r="P519" i="1"/>
  <c r="P518" i="1"/>
  <c r="P517" i="1"/>
  <c r="P516" i="1"/>
  <c r="P515" i="1"/>
  <c r="P514" i="1"/>
  <c r="P513" i="1"/>
  <c r="P512" i="1"/>
  <c r="P511" i="1"/>
  <c r="P510" i="1"/>
  <c r="P509" i="1"/>
  <c r="P508" i="1"/>
  <c r="P507" i="1"/>
  <c r="P506" i="1"/>
  <c r="P505" i="1"/>
  <c r="P504" i="1"/>
  <c r="P503" i="1"/>
  <c r="P502" i="1"/>
  <c r="P501" i="1"/>
  <c r="P500" i="1"/>
  <c r="P499" i="1"/>
  <c r="P498" i="1"/>
  <c r="P497" i="1"/>
  <c r="P496"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195" i="1"/>
  <c r="N194" i="1"/>
  <c r="P193" i="1"/>
  <c r="N193" i="1"/>
  <c r="P192" i="1"/>
  <c r="N192" i="1"/>
  <c r="P191" i="1"/>
  <c r="P190" i="1"/>
  <c r="P189" i="1"/>
  <c r="P188" i="1"/>
  <c r="P187" i="1"/>
  <c r="P186" i="1"/>
  <c r="P185" i="1"/>
  <c r="P184" i="1"/>
  <c r="P183" i="1"/>
  <c r="P182" i="1"/>
  <c r="P181" i="1"/>
  <c r="P180" i="1"/>
  <c r="P179" i="1"/>
  <c r="P178" i="1"/>
  <c r="P177" i="1"/>
  <c r="P175" i="1"/>
  <c r="P174" i="1"/>
  <c r="P173" i="1"/>
  <c r="P172" i="1"/>
  <c r="P171" i="1"/>
  <c r="P170" i="1"/>
  <c r="P169" i="1"/>
  <c r="P168" i="1"/>
  <c r="N168" i="1"/>
  <c r="P167" i="1"/>
  <c r="N167" i="1"/>
  <c r="P166" i="1"/>
  <c r="P165" i="1"/>
  <c r="P164" i="1"/>
  <c r="P163" i="1"/>
  <c r="P162" i="1"/>
  <c r="P161" i="1"/>
  <c r="P160" i="1"/>
  <c r="P159" i="1"/>
  <c r="N159" i="1"/>
  <c r="P158" i="1"/>
  <c r="P157" i="1"/>
  <c r="N157" i="1"/>
  <c r="P156" i="1"/>
  <c r="N156" i="1"/>
  <c r="P155" i="1"/>
  <c r="N155" i="1"/>
  <c r="P154" i="1"/>
  <c r="P153" i="1"/>
  <c r="P152" i="1"/>
  <c r="N152" i="1"/>
  <c r="P151" i="1"/>
  <c r="P150" i="1"/>
  <c r="N150" i="1"/>
  <c r="P149" i="1"/>
  <c r="N149" i="1"/>
  <c r="P148" i="1"/>
  <c r="P147" i="1"/>
  <c r="P146" i="1"/>
  <c r="N146" i="1"/>
  <c r="P145" i="1"/>
  <c r="P144" i="1"/>
  <c r="P143" i="1"/>
  <c r="N143" i="1"/>
  <c r="P142" i="1"/>
  <c r="P141" i="1"/>
  <c r="P140" i="1"/>
  <c r="P139" i="1"/>
  <c r="P138" i="1"/>
  <c r="P137" i="1"/>
  <c r="P136" i="1"/>
  <c r="P135" i="1"/>
  <c r="P134" i="1"/>
  <c r="N134" i="1"/>
  <c r="P133" i="1"/>
  <c r="P132" i="1"/>
  <c r="P131" i="1"/>
  <c r="P130" i="1"/>
  <c r="P129" i="1"/>
  <c r="P127" i="1"/>
  <c r="P126" i="1"/>
  <c r="P125" i="1"/>
  <c r="P124" i="1"/>
  <c r="P123" i="1"/>
  <c r="P122" i="1"/>
  <c r="P121" i="1"/>
  <c r="P120" i="1"/>
  <c r="P119" i="1"/>
  <c r="P118" i="1"/>
  <c r="P115" i="1"/>
  <c r="P108" i="1"/>
  <c r="P107" i="1"/>
  <c r="P97" i="1"/>
  <c r="P96" i="1"/>
  <c r="P95" i="1"/>
  <c r="P93" i="1"/>
  <c r="P92" i="1"/>
  <c r="P91" i="1"/>
  <c r="P90" i="1"/>
  <c r="P89" i="1"/>
  <c r="P88" i="1"/>
  <c r="P87" i="1"/>
  <c r="P86" i="1"/>
  <c r="P85" i="1"/>
  <c r="P84" i="1"/>
  <c r="P83" i="1"/>
  <c r="P82" i="1"/>
  <c r="P80" i="1"/>
  <c r="P79" i="1"/>
  <c r="P78" i="1"/>
  <c r="P76" i="1"/>
  <c r="P75" i="1"/>
  <c r="P74" i="1"/>
  <c r="P71" i="1"/>
  <c r="P69" i="1"/>
  <c r="P68" i="1"/>
  <c r="P67" i="1"/>
  <c r="P59" i="1"/>
  <c r="P57" i="1"/>
  <c r="P49" i="1"/>
  <c r="P47" i="1"/>
  <c r="P43" i="1"/>
  <c r="P42" i="1"/>
  <c r="P41" i="1"/>
  <c r="P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0" authorId="0" shapeId="0" xr:uid="{EE706B18-81E3-4071-93C4-5914BA5B1CC6}">
      <text>
        <r>
          <rPr>
            <sz val="10"/>
            <color rgb="FF000000"/>
            <rFont val="Aptos Narrow"/>
            <family val="2"/>
            <scheme val="minor"/>
          </rPr>
          <t>DEJAR VACÍO SINO SE BLOQUEA LA FORMULA</t>
        </r>
      </text>
    </comment>
    <comment ref="C51" authorId="0" shapeId="0" xr:uid="{F6653796-32B8-4F01-918A-215BFAC8451A}">
      <text>
        <r>
          <rPr>
            <sz val="10"/>
            <color rgb="FF000000"/>
            <rFont val="Aptos Narrow"/>
            <family val="2"/>
            <scheme val="minor"/>
          </rPr>
          <t>telf comensal</t>
        </r>
      </text>
    </comment>
    <comment ref="F62" authorId="0" shapeId="0" xr:uid="{42AEB267-78FE-4424-ACD9-5BA435A664CB}">
      <text>
        <r>
          <rPr>
            <sz val="10"/>
            <color rgb="FF000000"/>
            <rFont val="Aptos Narrow"/>
            <family val="2"/>
            <scheme val="minor"/>
          </rPr>
          <t>NO SE PUEDE CREAR EN REVO</t>
        </r>
      </text>
    </comment>
    <comment ref="F63" authorId="0" shapeId="0" xr:uid="{608183F7-C400-4783-A0FD-B3AB9D726C59}">
      <text>
        <r>
          <rPr>
            <sz val="10"/>
            <color rgb="FF000000"/>
            <rFont val="Aptos Narrow"/>
            <family val="2"/>
            <scheme val="minor"/>
          </rPr>
          <t xml:space="preserve">No se puede crear en Revo
</t>
        </r>
      </text>
    </comment>
    <comment ref="F64" authorId="0" shapeId="0" xr:uid="{5D06AC22-0143-4005-A6BF-4E92E24DA5C0}">
      <text>
        <r>
          <rPr>
            <sz val="10"/>
            <color rgb="FF000000"/>
            <rFont val="Aptos Narrow"/>
            <family val="2"/>
            <scheme val="minor"/>
          </rPr>
          <t>No se puede crear en Revo</t>
        </r>
      </text>
    </comment>
    <comment ref="C98" authorId="0" shapeId="0" xr:uid="{04A5BA3A-D5F7-4F79-B64D-95F7ADB8430D}">
      <text>
        <r>
          <rPr>
            <sz val="10"/>
            <color rgb="FF000000"/>
            <rFont val="Aptos Narrow"/>
            <family val="2"/>
            <scheme val="minor"/>
          </rPr>
          <t>NÚMERO DE CONTACTO DE JOSUNE, LA DE LA RESERVA, 699405366</t>
        </r>
      </text>
    </comment>
    <comment ref="P192" authorId="0" shapeId="0" xr:uid="{61529827-B187-4B6D-A676-E14205355EC3}">
      <text>
        <r>
          <rPr>
            <sz val="10"/>
            <color rgb="FF000000"/>
            <rFont val="Aptos Narrow"/>
            <family val="2"/>
            <scheme val="minor"/>
          </rPr>
          <t>Se ha gastado todo el saldo en la comida del mismo día</t>
        </r>
      </text>
    </comment>
  </commentList>
</comments>
</file>

<file path=xl/sharedStrings.xml><?xml version="1.0" encoding="utf-8"?>
<sst xmlns="http://schemas.openxmlformats.org/spreadsheetml/2006/main" count="990" uniqueCount="747">
  <si>
    <t>NOMBRE</t>
  </si>
  <si>
    <t>TELF</t>
  </si>
  <si>
    <t>NºTARJ.REG.</t>
  </si>
  <si>
    <t>IMPORTE</t>
  </si>
  <si>
    <t>OBSERVACIONES</t>
  </si>
  <si>
    <t>CREADA EN REVO</t>
  </si>
  <si>
    <t>USADO</t>
  </si>
  <si>
    <t>FECHA CADUCIDAD</t>
  </si>
  <si>
    <t>NOMBRE COMENSAL</t>
  </si>
  <si>
    <t>ENTREGADO</t>
  </si>
  <si>
    <t>PAGADO</t>
  </si>
  <si>
    <t>FECHA COMPRA</t>
  </si>
  <si>
    <t>FECHA ENGREGA</t>
  </si>
  <si>
    <t>FECHA PAGO</t>
  </si>
  <si>
    <t>AMAIA UZKUDUN</t>
  </si>
  <si>
    <t>LEIRE IZAGUIRRE</t>
  </si>
  <si>
    <t>-</t>
  </si>
  <si>
    <t>SORTEO HERRIKIDE</t>
  </si>
  <si>
    <t>LUIS MARI REYES</t>
  </si>
  <si>
    <t>MIKEL-ANA</t>
  </si>
  <si>
    <t>AINARA LIZARAZU</t>
  </si>
  <si>
    <t>LEIRE ZELAIA</t>
  </si>
  <si>
    <t>EGOITZ EZKERRA</t>
  </si>
  <si>
    <t>MANUEL EZKERRA</t>
  </si>
  <si>
    <t>ANTON SALEGUI</t>
  </si>
  <si>
    <t>MIKEL ECHART IRASTORZA</t>
  </si>
  <si>
    <t>GORRITXU LEKUONA</t>
  </si>
  <si>
    <t>GASTRONOMICA BERAZUBI (INVITACIÓN MATIAS GORR)</t>
  </si>
  <si>
    <t>IURRAMENDI IBILTOKIA</t>
  </si>
  <si>
    <t>1/22</t>
  </si>
  <si>
    <t xml:space="preserve">HACER MENU DE UNOS 180 </t>
  </si>
  <si>
    <t>2/22</t>
  </si>
  <si>
    <t>ANE AZKONOBIETA</t>
  </si>
  <si>
    <t>JOANA LERTXUNDI</t>
  </si>
  <si>
    <t>MENDIZABAL ELDUAYEN</t>
  </si>
  <si>
    <t>3/22</t>
  </si>
  <si>
    <t>PEDRO TOME</t>
  </si>
  <si>
    <t>FAMILIAKOAK</t>
  </si>
  <si>
    <t>4/22</t>
  </si>
  <si>
    <t>SHARON WATSON</t>
  </si>
  <si>
    <t>5/22</t>
  </si>
  <si>
    <t>JULEN</t>
  </si>
  <si>
    <t>ITZIAR</t>
  </si>
  <si>
    <t>6/22</t>
  </si>
  <si>
    <t>LIZARDI INMOBILIARIA</t>
  </si>
  <si>
    <t>ANGEL ANDUÑO</t>
  </si>
  <si>
    <t>PAGARON 180€ . P-P- XABI</t>
  </si>
  <si>
    <t>IZASKUN GARMENDIA</t>
  </si>
  <si>
    <t>IRATI ELORRIAGA ETA PABLO</t>
  </si>
  <si>
    <t>IKER ZUBILLAGA</t>
  </si>
  <si>
    <t>IÑIGO ALTUNA</t>
  </si>
  <si>
    <t>9/22</t>
  </si>
  <si>
    <t>PABLO ARTOLA GARIKANO</t>
  </si>
  <si>
    <t>10/22</t>
  </si>
  <si>
    <t>TRANSFERENCIA DE 180€ P.P. XABI</t>
  </si>
  <si>
    <t>11/22</t>
  </si>
  <si>
    <t>JOSUNE GARMENDIA</t>
  </si>
  <si>
    <t>000000104</t>
  </si>
  <si>
    <t>COMPAÑEROS</t>
  </si>
  <si>
    <t>LUIS MARTINEZ</t>
  </si>
  <si>
    <t>12/22</t>
  </si>
  <si>
    <t>OLATZ GOENAGA</t>
  </si>
  <si>
    <t>LEIRE GOENAGA</t>
  </si>
  <si>
    <t>13/22</t>
  </si>
  <si>
    <t>MIGUEL CRUZ</t>
  </si>
  <si>
    <t>ALEJANDRO GOYA</t>
  </si>
  <si>
    <t>14/22</t>
  </si>
  <si>
    <t>PENDIENTE  (PAGARÁ DESPUÉS)</t>
  </si>
  <si>
    <t>KOLDO LIZARRA</t>
  </si>
  <si>
    <t>LUIS AGUIRRE SAROBE+JASONE</t>
  </si>
  <si>
    <t>15/22</t>
  </si>
  <si>
    <t>BEATRIZ ZOROKIAN</t>
  </si>
  <si>
    <t>16/22</t>
  </si>
  <si>
    <t>AMAGOIA ZULAIKA</t>
  </si>
  <si>
    <t>17/22</t>
  </si>
  <si>
    <t>PAGADO 180€ XABI</t>
  </si>
  <si>
    <t>AINHOA ALCORTA</t>
  </si>
  <si>
    <t>18/22</t>
  </si>
  <si>
    <t>NO COBRAR (XABI)</t>
  </si>
  <si>
    <t>XABIER</t>
  </si>
  <si>
    <t>ESTEBAN PEREZ + GLORIA</t>
  </si>
  <si>
    <t>19/22</t>
  </si>
  <si>
    <t>IBON LAPLA</t>
  </si>
  <si>
    <t>ALEX RODRIGUES</t>
  </si>
  <si>
    <t>20/22</t>
  </si>
  <si>
    <t>PASARÁ A PAGAR</t>
  </si>
  <si>
    <t>XABIER ANDREU</t>
  </si>
  <si>
    <t>ARANTXA ETA MIGUEL</t>
  </si>
  <si>
    <t>21/22</t>
  </si>
  <si>
    <t>DEVOLUCIÓN BIZUM XABI GORROTXA</t>
  </si>
  <si>
    <t>FAMILIA CATALA SANCHEZ</t>
  </si>
  <si>
    <t>22/22</t>
  </si>
  <si>
    <t>JON ARTEAGA</t>
  </si>
  <si>
    <t>MARI PAZ LARRINAGA</t>
  </si>
  <si>
    <t>01/23</t>
  </si>
  <si>
    <t>PAGADO VISA</t>
  </si>
  <si>
    <t>ARANTXA GARMENDIA</t>
  </si>
  <si>
    <t>2/23</t>
  </si>
  <si>
    <t>LEIRE URANGA</t>
  </si>
  <si>
    <t>3/23</t>
  </si>
  <si>
    <t>PEDRO ETXEZARRETA</t>
  </si>
  <si>
    <t>COLM MACCABA</t>
  </si>
  <si>
    <t>4/23</t>
  </si>
  <si>
    <t>DAVID Y SOFIA</t>
  </si>
  <si>
    <t>FELIPE</t>
  </si>
  <si>
    <t>5/23</t>
  </si>
  <si>
    <t>AINHOA SIMPLER</t>
  </si>
  <si>
    <t>ESTANIS ARSUAGA</t>
  </si>
  <si>
    <t>6/23</t>
  </si>
  <si>
    <t>TOLOSA UDALETXEA</t>
  </si>
  <si>
    <t>LIERNI UGARTEMENDIA</t>
  </si>
  <si>
    <t>41/23</t>
  </si>
  <si>
    <t>NO HACER NADA EN EL PROGRAMA EL DIA QUE VENGAN</t>
  </si>
  <si>
    <t>IÑAKI LOPETEGUI</t>
  </si>
  <si>
    <t>7/23</t>
  </si>
  <si>
    <t>TXOTX SOLIDARIO</t>
  </si>
  <si>
    <t>MOKOROA</t>
  </si>
  <si>
    <t>8/23</t>
  </si>
  <si>
    <t>PEDRO MARI</t>
  </si>
  <si>
    <t>9/23</t>
  </si>
  <si>
    <t>MAIALEN ETA MIKEL</t>
  </si>
  <si>
    <t>MARIA JESUS KORTAJARENA</t>
  </si>
  <si>
    <t>10/23</t>
  </si>
  <si>
    <t>AIMAR</t>
  </si>
  <si>
    <t>11/23</t>
  </si>
  <si>
    <t>IRATI ETA MIKEL</t>
  </si>
  <si>
    <t>12/23</t>
  </si>
  <si>
    <t>IRANZU</t>
  </si>
  <si>
    <t>13/23</t>
  </si>
  <si>
    <t>SUS PADRES</t>
  </si>
  <si>
    <t>14/23</t>
  </si>
  <si>
    <t>NO TIENEN QUE ABONAR</t>
  </si>
  <si>
    <t>15/23</t>
  </si>
  <si>
    <t>IÑAKI</t>
  </si>
  <si>
    <t>16/23</t>
  </si>
  <si>
    <t>ITXASO RIVERA GARMENDIA (ARREBA)</t>
  </si>
  <si>
    <t>17/23</t>
  </si>
  <si>
    <t>JONATHAN</t>
  </si>
  <si>
    <t>18/23</t>
  </si>
  <si>
    <t>ANE ETA JON</t>
  </si>
  <si>
    <t>19/23</t>
  </si>
  <si>
    <t>XABIER ETXEBERRIA</t>
  </si>
  <si>
    <t>20/23</t>
  </si>
  <si>
    <t>21/23</t>
  </si>
  <si>
    <t>SORTEO</t>
  </si>
  <si>
    <t>22/23</t>
  </si>
  <si>
    <t>PAGADO 160€ (ORDEN DE XABI)</t>
  </si>
  <si>
    <t>REGALO</t>
  </si>
  <si>
    <t>23/23</t>
  </si>
  <si>
    <t>SIN PAGAR Y SIN CREAR OPARI TXART</t>
  </si>
  <si>
    <t>24/23</t>
  </si>
  <si>
    <t>Pasara a pagar la cantidad total de lo que consuman</t>
  </si>
  <si>
    <t>JESUS ALONSO</t>
  </si>
  <si>
    <t>25/23</t>
  </si>
  <si>
    <t>Son 3 personas, si hubiera diferencia la pagaría Maite</t>
  </si>
  <si>
    <t>INVITACION CASA JULIAN</t>
  </si>
  <si>
    <t>26/23</t>
  </si>
  <si>
    <t>No está creada, simplemente invitación el día qvengan</t>
  </si>
  <si>
    <t>JON URTEAGA</t>
  </si>
  <si>
    <t>27/23</t>
  </si>
  <si>
    <t>EGOITZ DE LA CANAL</t>
  </si>
  <si>
    <t>28/23</t>
  </si>
  <si>
    <t>PATXI MONJE</t>
  </si>
  <si>
    <t>29/23</t>
  </si>
  <si>
    <t>IKER GARMENDIA</t>
  </si>
  <si>
    <t>30/23</t>
  </si>
  <si>
    <t>GURASOAK</t>
  </si>
  <si>
    <t>31/23</t>
  </si>
  <si>
    <t>€COBRAR 180</t>
  </si>
  <si>
    <t>-----------------------------------------------</t>
  </si>
  <si>
    <t>32/23</t>
  </si>
  <si>
    <t>NO COBRAR</t>
  </si>
  <si>
    <t>ASMAA</t>
  </si>
  <si>
    <t>33/23</t>
  </si>
  <si>
    <t>BODAS DE PLATA</t>
  </si>
  <si>
    <t>34/23</t>
  </si>
  <si>
    <t>MIREN ZUBELDIA</t>
  </si>
  <si>
    <t>35/23</t>
  </si>
  <si>
    <t>4/24</t>
  </si>
  <si>
    <t>AYUNTAMIENTO DE TOLOSA</t>
  </si>
  <si>
    <t>36/23</t>
  </si>
  <si>
    <t>Esan zaio nahiz eta kadukatuta egon onartuko dela</t>
  </si>
  <si>
    <t>DAVID CALDERON</t>
  </si>
  <si>
    <t>37/23</t>
  </si>
  <si>
    <t>5/24</t>
  </si>
  <si>
    <t>AINHOA URTEAGA</t>
  </si>
  <si>
    <t>38/23</t>
  </si>
  <si>
    <t>6-24</t>
  </si>
  <si>
    <t>SASKIEN ZOZEKTA</t>
  </si>
  <si>
    <t>39/23</t>
  </si>
  <si>
    <t>40/23</t>
  </si>
  <si>
    <t>PASARÁ A PAGAR EL 04/12/23</t>
  </si>
  <si>
    <t>42/23</t>
  </si>
  <si>
    <t>(NO HACE FALTA CREAR OT) INVITACION</t>
  </si>
  <si>
    <t>6/24</t>
  </si>
  <si>
    <t>LAGUNAK</t>
  </si>
  <si>
    <t>43/23</t>
  </si>
  <si>
    <t>44/23</t>
  </si>
  <si>
    <t>NAROA HUBILLOS</t>
  </si>
  <si>
    <t>45/23</t>
  </si>
  <si>
    <t>IÑAKI PAKEA</t>
  </si>
  <si>
    <t>46/23</t>
  </si>
  <si>
    <t>47/23</t>
  </si>
  <si>
    <t>48/23</t>
  </si>
  <si>
    <t>AIMAR ETA ELENA</t>
  </si>
  <si>
    <t>49/23</t>
  </si>
  <si>
    <t>IKER ARRIETA</t>
  </si>
  <si>
    <t>50/23</t>
  </si>
  <si>
    <t>IZEBA/OSABA</t>
  </si>
  <si>
    <t>51/23</t>
  </si>
  <si>
    <t>ROGELIO PEDROSO</t>
  </si>
  <si>
    <t>52/23</t>
  </si>
  <si>
    <t>FAMILIANTZAKO</t>
  </si>
  <si>
    <t>53/24</t>
  </si>
  <si>
    <t>Está creada en revo como 0005324</t>
  </si>
  <si>
    <t>SEMEANTZAKO (LEIRE)</t>
  </si>
  <si>
    <t>54/24</t>
  </si>
  <si>
    <t>IÑIGO GOYA</t>
  </si>
  <si>
    <t>55/24</t>
  </si>
  <si>
    <t>XABI PEREZ</t>
  </si>
  <si>
    <t>56/24</t>
  </si>
  <si>
    <t>57/24</t>
  </si>
  <si>
    <t>Son dos opari txartelas para 4 personas. La 57/24 y la 58/24 van juntas.</t>
  </si>
  <si>
    <t>58/24</t>
  </si>
  <si>
    <t>59/24</t>
  </si>
  <si>
    <t>No se ha creado en revo, ni está pagada</t>
  </si>
  <si>
    <t>ANDER MUÑAGORRI</t>
  </si>
  <si>
    <t>60/24</t>
  </si>
  <si>
    <t>IOANA BADILLO</t>
  </si>
  <si>
    <t>61/24</t>
  </si>
  <si>
    <t>MANUEL SEIJO</t>
  </si>
  <si>
    <t>62/24</t>
  </si>
  <si>
    <t>En su tarjeta regalo pone 61/24 --&gt; ESTÁ MAL!!! ES 62</t>
  </si>
  <si>
    <t>JOSUNE</t>
  </si>
  <si>
    <t>63/24</t>
  </si>
  <si>
    <t>SON TRES, LA OPARI FUNCIONA COMO DESCUENTO LA DIFERENCIA LA PAGARÁN MÁS ADELANTE</t>
  </si>
  <si>
    <t>KOLDO ETA INGE</t>
  </si>
  <si>
    <t>64/24</t>
  </si>
  <si>
    <t xml:space="preserve">COMPROMISO </t>
  </si>
  <si>
    <t>65/24</t>
  </si>
  <si>
    <t>PASARA A RECOGER</t>
  </si>
  <si>
    <t>66/24</t>
  </si>
  <si>
    <t>AMIGO XABI</t>
  </si>
  <si>
    <t>*24</t>
  </si>
  <si>
    <t>PAGARA CUANDO VAYA A COMER</t>
  </si>
  <si>
    <t>GASTRONOMIKA BERAZUBI</t>
  </si>
  <si>
    <t>67/24</t>
  </si>
  <si>
    <t>*XABI (NO PAGAN)</t>
  </si>
  <si>
    <t>68/24</t>
  </si>
  <si>
    <t>JUANA ETA VICENTE</t>
  </si>
  <si>
    <t>69/24</t>
  </si>
  <si>
    <t>ANE ALTUNA</t>
  </si>
  <si>
    <t>70/24</t>
  </si>
  <si>
    <t>BENE</t>
  </si>
  <si>
    <t>71/24</t>
  </si>
  <si>
    <t>ES PARA 3</t>
  </si>
  <si>
    <t>72/24</t>
  </si>
  <si>
    <t>73/24</t>
  </si>
  <si>
    <t>74/24</t>
  </si>
  <si>
    <t>(SI SE EXCEDEN LLAMAR Y PAGARA DIFERNCIA)</t>
  </si>
  <si>
    <t>75/24</t>
  </si>
  <si>
    <t>76/24</t>
  </si>
  <si>
    <t>77/24</t>
  </si>
  <si>
    <t>LIBRE</t>
  </si>
  <si>
    <t>CUANDO VENGAN DECIDEN EL MENÚ ELLOS Y PAGA JOSEBA ALONSO</t>
  </si>
  <si>
    <t>OIER LAIZABAL ETA ALEX IZAGIRRE</t>
  </si>
  <si>
    <t>78/24</t>
  </si>
  <si>
    <t>AMIGOS</t>
  </si>
  <si>
    <t>79/24</t>
  </si>
  <si>
    <t>MARINA ETA BEÑAT</t>
  </si>
  <si>
    <t>80/24</t>
  </si>
  <si>
    <t>Han avisado que vendrán en septiembre del 2025. CÓDIGO 0008024</t>
  </si>
  <si>
    <t>EGOITZ ETA NAIARA</t>
  </si>
  <si>
    <t>81/24</t>
  </si>
  <si>
    <t>82/24</t>
  </si>
  <si>
    <t>Xabier Mollua eta Ainhoa</t>
  </si>
  <si>
    <t>83/24</t>
  </si>
  <si>
    <t>GORKA Y SILVIA</t>
  </si>
  <si>
    <t>84/24</t>
  </si>
  <si>
    <t>NAIARA</t>
  </si>
  <si>
    <t>85/24</t>
  </si>
  <si>
    <t>635759473
kike@ehkirola.eus</t>
  </si>
  <si>
    <t>86/24</t>
  </si>
  <si>
    <t>87/24</t>
  </si>
  <si>
    <t>689141834 / 616282574</t>
  </si>
  <si>
    <t>AMAIA UGARTEMENDIA</t>
  </si>
  <si>
    <t>88/24</t>
  </si>
  <si>
    <t>603800091 | haritzarruti@me.com</t>
  </si>
  <si>
    <t>89/24</t>
  </si>
  <si>
    <t>SORTU GABE</t>
  </si>
  <si>
    <t>90/24</t>
  </si>
  <si>
    <t>91/24</t>
  </si>
  <si>
    <t>92/24</t>
  </si>
  <si>
    <t>Juanan eta Magali</t>
  </si>
  <si>
    <t>93/24</t>
  </si>
  <si>
    <t>94/24</t>
  </si>
  <si>
    <t>95/24</t>
  </si>
  <si>
    <t>96/24</t>
  </si>
  <si>
    <t>639 455 109</t>
  </si>
  <si>
    <t>97/24</t>
  </si>
  <si>
    <t>Olatz Sarasola</t>
  </si>
  <si>
    <t>98/24</t>
  </si>
  <si>
    <t>Se ha entregado la OT pero es solo para que tengan algo que regalar. No se ha pagado nada, pagarán aquí.</t>
  </si>
  <si>
    <t>Sorteo ORIXE</t>
  </si>
  <si>
    <t>99/24</t>
  </si>
  <si>
    <t>100/24</t>
  </si>
  <si>
    <t>Imarsoroa@hotmail.com</t>
  </si>
  <si>
    <t>101/24</t>
  </si>
  <si>
    <t>1/25</t>
  </si>
  <si>
    <t>2/25</t>
  </si>
  <si>
    <t>3/25</t>
  </si>
  <si>
    <t>NO SE COBR</t>
  </si>
  <si>
    <t>beotibarzestapunta@gmail.com</t>
  </si>
  <si>
    <t>4/25</t>
  </si>
  <si>
    <t>5/25</t>
  </si>
  <si>
    <t>6/25</t>
  </si>
  <si>
    <t>7/25</t>
  </si>
  <si>
    <t>?</t>
  </si>
  <si>
    <t>SIN MENÚ,. OT SIN CREAR. ESTÁ SIN PAGAR. PAGARÁ JOKIN. ENVIAR FRA A ARANTXA 648212019.</t>
  </si>
  <si>
    <t>sin pagar</t>
  </si>
  <si>
    <t>8/25</t>
  </si>
  <si>
    <t>CÓDIGO 000825</t>
  </si>
  <si>
    <t>9/25</t>
  </si>
  <si>
    <t>647588109 Agustin</t>
  </si>
  <si>
    <t>10/25</t>
  </si>
  <si>
    <t>NO PAGAN</t>
  </si>
  <si>
    <t>11/25</t>
  </si>
  <si>
    <t>12/25</t>
  </si>
  <si>
    <t>13/25</t>
  </si>
  <si>
    <t>14/25</t>
  </si>
  <si>
    <t>0001425</t>
  </si>
  <si>
    <t>15/25</t>
  </si>
  <si>
    <t>PAGA POR TRANSFERENCIA. código 0001525</t>
  </si>
  <si>
    <t>16/25</t>
  </si>
  <si>
    <t>17/25</t>
  </si>
  <si>
    <t>Es para 3 personas. Menú cerrado: 1 Charcutería + 3 Puerros + 3 Espárragos +  1,5 Txuleta + 1 Pimientos  + 2 Ensalada + 3 Flan + Pan + Bebidas (2 botellas 20€ + cafés)</t>
  </si>
  <si>
    <t>18/25</t>
  </si>
  <si>
    <t>CÓDIGO 0001825</t>
  </si>
  <si>
    <t>19/25</t>
  </si>
  <si>
    <t>CÓDIGO 0001925</t>
  </si>
  <si>
    <t>20/25</t>
  </si>
  <si>
    <t>21/25</t>
  </si>
  <si>
    <t>22/25</t>
  </si>
  <si>
    <t>23/25</t>
  </si>
  <si>
    <t>24/25</t>
  </si>
  <si>
    <t>está creada como 0002425</t>
  </si>
  <si>
    <t>25/25</t>
  </si>
  <si>
    <t>está creada como 0002525</t>
  </si>
  <si>
    <t>26/25</t>
  </si>
  <si>
    <t>creada en revo como 0002625</t>
  </si>
  <si>
    <t>27/25</t>
  </si>
  <si>
    <t>CREADA COMO 0002725</t>
  </si>
  <si>
    <t>JON BURGAÑA</t>
  </si>
  <si>
    <t>VIENE EL 08/08 . MANDAR FACTURA A ALAZNE (688610118)</t>
  </si>
  <si>
    <t>OLAIA</t>
  </si>
  <si>
    <t>28/25</t>
  </si>
  <si>
    <t>Creada en revo como 0002825</t>
  </si>
  <si>
    <t>29/25</t>
  </si>
  <si>
    <t>Es para 3. Pagaron primero 220 y luego 110. Está creada como 0002925. No se les ha dichpo cómo ajustaríamos el menú para 3. Una sugerencia de MENU: Trilogía para 3. 6 puerros. 6 espárragos.  Txuleta 1,8kg. Pimientos 1 o 2. 1 Tarta de queso 1. 1 flan. 1 coulant</t>
  </si>
  <si>
    <t>30/25</t>
  </si>
  <si>
    <t>OT número 30025</t>
  </si>
  <si>
    <t>31/25</t>
  </si>
  <si>
    <t>OT NUMERO 30125</t>
  </si>
  <si>
    <t>32/25</t>
  </si>
  <si>
    <t>OT NUMERO 30225. VIven fuera, se les ha dicho  que tienen 1 año para usarlo (19/09/2026)</t>
  </si>
  <si>
    <t>Rosario Lasarpetrirena</t>
  </si>
  <si>
    <t>33/25</t>
  </si>
  <si>
    <t>OT NUMERO 30325</t>
  </si>
  <si>
    <t>34/25</t>
  </si>
  <si>
    <t>0003525</t>
  </si>
  <si>
    <t>PASARÁ A RECOGERLA CUANDO SE PAGUE</t>
  </si>
  <si>
    <t>0003625</t>
  </si>
  <si>
    <t>NO PAGA. TIENEN QUE  PASARLA A RECOGER</t>
  </si>
  <si>
    <t>0003725</t>
  </si>
  <si>
    <t>0003825</t>
  </si>
  <si>
    <t>AS0001</t>
  </si>
  <si>
    <t>TIENE 11 OTS (PAGA EN NEGRO) NO CREAR EN REVO ES EL DE LOS SEGUROS, CUANDO VENGAN CREAR COMANDA Y BORRARLA AL FINAL, NO CERRARLA</t>
  </si>
  <si>
    <t>AS0002</t>
  </si>
  <si>
    <t>AS0003</t>
  </si>
  <si>
    <t>AS0004</t>
  </si>
  <si>
    <t>AS0005</t>
  </si>
  <si>
    <t>AS0006</t>
  </si>
  <si>
    <t>AS0007</t>
  </si>
  <si>
    <t>AS0008</t>
  </si>
  <si>
    <t>AS0009</t>
  </si>
  <si>
    <t>AS0010</t>
  </si>
  <si>
    <t>AS0011</t>
  </si>
  <si>
    <t>AS0012</t>
  </si>
  <si>
    <t>HF0001</t>
  </si>
  <si>
    <t>No lo gastarán de golpe, irán consumiendo el saldo poco a poco. Ver hoja Jarraipe orria- Hazi fundazioa para más info. Pagan por transferencia</t>
  </si>
  <si>
    <t>PM0001</t>
  </si>
  <si>
    <t>No va con menú. Sin crear en REVO (beltza). Cuando venga, no cerrar comanda, borrar los platos. Se le ha dado una opari con el número 1109 pero esa no es porque finalmente no se creó en SHOPIFY. Se le ha avisado cuál es el código nuevo.</t>
  </si>
  <si>
    <t>SE0001</t>
  </si>
  <si>
    <t>Ha pagado 200 pero se le hace el menú normal.</t>
  </si>
  <si>
    <t>1291.</t>
  </si>
  <si>
    <r>
      <rPr>
        <b/>
        <sz val="8"/>
        <color rgb="FFFF0000"/>
        <rFont val="Oswald"/>
      </rPr>
      <t>EXISTEN DOS TARJETAS CON ESTA NUMERACIÓN. COMPROBAR CUÁL ES</t>
    </r>
    <r>
      <rPr>
        <sz val="8"/>
        <color theme="1"/>
        <rFont val="Oswald"/>
      </rPr>
      <t xml:space="preserve">. Está creada en REVO como </t>
    </r>
    <r>
      <rPr>
        <b/>
        <sz val="8"/>
        <color theme="1"/>
        <rFont val="Oswald"/>
      </rPr>
      <t>00001291</t>
    </r>
    <r>
      <rPr>
        <sz val="8"/>
        <color theme="1"/>
        <rFont val="Oswald"/>
      </rPr>
      <t xml:space="preserve">. La creó mal Orlando. Se ha seguido la numeración de Shopify, pero el pedido no entró por ahí. </t>
    </r>
  </si>
  <si>
    <t>XG0001</t>
  </si>
  <si>
    <t>SON 3. NO PAGAN NADA. NO HACEN MENÚ, ELIGEN A LA CARTA. NO CREAR EN REVO, CUANDO VENGAN CREAR COMANDA Y BORRARLA AL FINAL, NO CERRARLA</t>
  </si>
  <si>
    <t>ID</t>
  </si>
  <si>
    <t>NUMERO COMENSALES</t>
  </si>
  <si>
    <t>Ander GOENAGA HERNANDEZ</t>
  </si>
  <si>
    <t>Joanes Elosegi</t>
  </si>
  <si>
    <t>CREADA EN EL MOMENTO</t>
  </si>
  <si>
    <t>MILA AMUNDARAIN</t>
  </si>
  <si>
    <t>LO HA PERDIDO</t>
  </si>
  <si>
    <t>JAVIER UGALDE</t>
  </si>
  <si>
    <t xml:space="preserve">ANGEL BAZTAN </t>
  </si>
  <si>
    <t>NEREA LETAMENDIA</t>
  </si>
  <si>
    <t>f</t>
  </si>
  <si>
    <t>Ihintza solorzano</t>
  </si>
  <si>
    <t>Carlos Ruiz de Alegria Igartua</t>
  </si>
  <si>
    <t>FERNANDEZ SANZ</t>
  </si>
  <si>
    <t>Gadea Azkue Eizagirre</t>
  </si>
  <si>
    <t>Beatriz Imaz</t>
  </si>
  <si>
    <t>Beñat Gauna Jauregui</t>
  </si>
  <si>
    <t>Unai Lertxundi</t>
  </si>
  <si>
    <t xml:space="preserve">
Jon Doistua Hermoso</t>
  </si>
  <si>
    <t>Maider Eraunzetamurgil</t>
  </si>
  <si>
    <t>Unai Rodríguez</t>
  </si>
  <si>
    <t>igor custardoy ortiz de elguea</t>
  </si>
  <si>
    <t>juanjo seijo</t>
  </si>
  <si>
    <t>MUGICA</t>
  </si>
  <si>
    <t>Gaizka Txasko Posa</t>
  </si>
  <si>
    <t>ASIER URBE OLALLA</t>
  </si>
  <si>
    <t>aitor iriarte ijurra</t>
  </si>
  <si>
    <t>Elvira Diez</t>
  </si>
  <si>
    <t>Darren O'Sullivan</t>
  </si>
  <si>
    <t>Monica Alcibar</t>
  </si>
  <si>
    <t>AIna Nieto Higueras</t>
  </si>
  <si>
    <t>Enrique Mocoroa Bello</t>
  </si>
  <si>
    <t>Pulido</t>
  </si>
  <si>
    <t>Andoni Martinez</t>
  </si>
  <si>
    <t>Ane Jauregui Lasa</t>
  </si>
  <si>
    <t>Ana Marin Temes</t>
  </si>
  <si>
    <t>Ines Bergareche Tejera</t>
  </si>
  <si>
    <t>Maider Garmendia Amiama</t>
  </si>
  <si>
    <t>Jose Luis Adurriaga</t>
  </si>
  <si>
    <t>Teresa Recarte Beldarrain</t>
  </si>
  <si>
    <t>Garcia González</t>
  </si>
  <si>
    <t>Imanol Anta Larrea</t>
  </si>
  <si>
    <t>Ianire Tejedo</t>
  </si>
  <si>
    <t>Maider Etxagibel Galdos</t>
  </si>
  <si>
    <t>Deborah Arellano</t>
  </si>
  <si>
    <t>Celia Pérez García</t>
  </si>
  <si>
    <t>icardo aramburu granado</t>
  </si>
  <si>
    <t>Ion Aiestaran</t>
  </si>
  <si>
    <t>Guillermo Lloidi</t>
  </si>
  <si>
    <t>Nagore Garcia</t>
  </si>
  <si>
    <t>Mirian Calvo Zubelzu</t>
  </si>
  <si>
    <t>MIKEL ARISTU KORTAZAR</t>
  </si>
  <si>
    <t>MIKMAR INGENIEROS SL JAVIER BERRIO</t>
  </si>
  <si>
    <t>Jon Irisarri</t>
  </si>
  <si>
    <t>Beñat Azpillaga Gurruchaga</t>
  </si>
  <si>
    <t>Telmo Garcia Aizpuru</t>
  </si>
  <si>
    <t xml:space="preserve">ANOETAKO HERRI IKASTOLA F20072542 </t>
  </si>
  <si>
    <t>Jon Iturralde Barrutia</t>
  </si>
  <si>
    <t>Iker Postigo Zuaznabar</t>
  </si>
  <si>
    <t>Mariana Rosca</t>
  </si>
  <si>
    <t>Laura aldanondo</t>
  </si>
  <si>
    <t>Alba Garcia</t>
  </si>
  <si>
    <t>Pablo Hernani Gil</t>
  </si>
  <si>
    <t>Xabi Muñagorri Larrarte</t>
  </si>
  <si>
    <t>GURUTZE ALDANONDO</t>
  </si>
  <si>
    <t>Danel Irazustabarrena</t>
  </si>
  <si>
    <t>Maite Iturralde</t>
  </si>
  <si>
    <t>Alejandro Valens Gallego</t>
  </si>
  <si>
    <t>Cortajarena</t>
  </si>
  <si>
    <t>Miriam Huarriz Gurpide</t>
  </si>
  <si>
    <t>Pedro Manuel Gallego Perez</t>
  </si>
  <si>
    <t>Goikoetxea Altuna</t>
  </si>
  <si>
    <t>Ander Imaz Alcorta</t>
  </si>
  <si>
    <t>Maite Aizpurua Galdona</t>
  </si>
  <si>
    <t>Aloña Muñoz Merino</t>
  </si>
  <si>
    <t>Asier Dorai</t>
  </si>
  <si>
    <t>Nagore Balenciaga</t>
  </si>
  <si>
    <t>Maddi Lillo</t>
  </si>
  <si>
    <t>Ruben Crespo Perez</t>
  </si>
  <si>
    <t>Mikel Luzuriaga Iurramendi</t>
  </si>
  <si>
    <t>Cecilia Cuéllar Vásquez</t>
  </si>
  <si>
    <t>Danel Teran Fernandez</t>
  </si>
  <si>
    <t>Ander Ansoategi Oruna</t>
  </si>
  <si>
    <t>James Barry</t>
  </si>
  <si>
    <t>Gurutze Ortega lazkano</t>
  </si>
  <si>
    <t>Unai Mintegui del Olmo</t>
  </si>
  <si>
    <t>Leire Unanue Ibarra</t>
  </si>
  <si>
    <t>Unai ETxebarria Gonzalez</t>
  </si>
  <si>
    <t>Karmele Zubillaga</t>
  </si>
  <si>
    <t>Mirian Fuster</t>
  </si>
  <si>
    <t>Maite Saenz</t>
  </si>
  <si>
    <t>Unai Gallastegui</t>
  </si>
  <si>
    <t>Leire Argote Fernandez</t>
  </si>
  <si>
    <t>Maximo Garcia Moreno</t>
  </si>
  <si>
    <t xml:space="preserve">Lander Segurola </t>
  </si>
  <si>
    <t>Danel Intxaurrondo Gonzalez</t>
  </si>
  <si>
    <t>Ramon Amoros</t>
  </si>
  <si>
    <t>Arola Urdangarin</t>
  </si>
  <si>
    <t>Maialen Zubeldia</t>
  </si>
  <si>
    <t>MARIA LAIZ AMUNDARAIN</t>
  </si>
  <si>
    <t>Beñat Ucin Zubeldia</t>
  </si>
  <si>
    <t>Xabier Aranzeta</t>
  </si>
  <si>
    <t>Paola Riesco</t>
  </si>
  <si>
    <t>Julia Andoño</t>
  </si>
  <si>
    <t>Asier Arriaga Galdos</t>
  </si>
  <si>
    <t>Jone Juaristi</t>
  </si>
  <si>
    <t>Iñigo MARTINEZ ONANDIA</t>
  </si>
  <si>
    <t>Joana Lacunza Santos</t>
  </si>
  <si>
    <t>Ainhara Echeverria Telleria</t>
  </si>
  <si>
    <t>Aitziber Aitziber</t>
  </si>
  <si>
    <t>Juan Navarro</t>
  </si>
  <si>
    <t>Amaia Azkarate Bergara</t>
  </si>
  <si>
    <t xml:space="preserve">Mikel Arbulu Bergera </t>
  </si>
  <si>
    <t>aritz aguirre</t>
  </si>
  <si>
    <t>Elene Murua Urkiola</t>
  </si>
  <si>
    <t>Aritz Irigoyen Fresneda</t>
  </si>
  <si>
    <t>Miriam Albizuri Eizmendi</t>
  </si>
  <si>
    <t>Arantzazu Arrospide Elgarresta</t>
  </si>
  <si>
    <t xml:space="preserve">Ricardo Soares </t>
  </si>
  <si>
    <t>Tatiana Naranjo Lecuona</t>
  </si>
  <si>
    <t>Poppy Harris</t>
  </si>
  <si>
    <t>Sofía García-Miñaur</t>
  </si>
  <si>
    <t>Anartz Iturbe Eizagirre</t>
  </si>
  <si>
    <t>Roberto Mayo</t>
  </si>
  <si>
    <t>Lacey Brown</t>
  </si>
  <si>
    <t>Nahia Caamaño Cabezas</t>
  </si>
  <si>
    <t>Jaione Abaigar</t>
  </si>
  <si>
    <t>IBON ESKUDERO</t>
  </si>
  <si>
    <t>IZARO</t>
  </si>
  <si>
    <t>Victor Campos</t>
  </si>
  <si>
    <t xml:space="preserve">Iñaki Martinez Ibañez </t>
  </si>
  <si>
    <t>MARIO JASO</t>
  </si>
  <si>
    <t>Beñat Agirre Zubillaga</t>
  </si>
  <si>
    <t>ALBA GARCIA DEL COZ</t>
  </si>
  <si>
    <t>Janire Oiarbide Saez</t>
  </si>
  <si>
    <t>Teresa Rodero Iglesias</t>
  </si>
  <si>
    <t>Alex Hidalgo Hernandez</t>
  </si>
  <si>
    <t>Paula Castaño García</t>
  </si>
  <si>
    <t>Lucia Balsera</t>
  </si>
  <si>
    <t>Arias</t>
  </si>
  <si>
    <t>Jon Gallurralde</t>
  </si>
  <si>
    <t>García de Cortazar</t>
  </si>
  <si>
    <t>Marta Portela Otero</t>
  </si>
  <si>
    <t>Tapia</t>
  </si>
  <si>
    <t>Carlos Saiz sagarna</t>
  </si>
  <si>
    <t>Oihane Aguinaga</t>
  </si>
  <si>
    <t>iñigo Arruti Roteta</t>
  </si>
  <si>
    <t>Jennifer Moya Vaquero</t>
  </si>
  <si>
    <t>Naiara Otermin</t>
  </si>
  <si>
    <t>Mirentxu Barbe Mendibil</t>
  </si>
  <si>
    <t xml:space="preserve">Txaro Saenz Lazcano </t>
  </si>
  <si>
    <t>Irune Mendieta</t>
  </si>
  <si>
    <t>Amaia8 Lasaosa</t>
  </si>
  <si>
    <t>Zuriñe Inzunza Martínez</t>
  </si>
  <si>
    <t>Amane Zumeta Irureta</t>
  </si>
  <si>
    <t>Haizea Ramos</t>
  </si>
  <si>
    <t>Olaia Medinilla Ruiz</t>
  </si>
  <si>
    <t>Imanol GANZARAIN</t>
  </si>
  <si>
    <t>Karen Prieto Pastrian</t>
  </si>
  <si>
    <t>Idoia Fuentes</t>
  </si>
  <si>
    <t>Lorenzo Paolo Venier</t>
  </si>
  <si>
    <t>Mikel Gonzalez</t>
  </si>
  <si>
    <t>Mireia Rodríguez</t>
  </si>
  <si>
    <t>Maren Maren</t>
  </si>
  <si>
    <t>Simon Backler</t>
  </si>
  <si>
    <t>Francisco Javier Lareo Pena</t>
  </si>
  <si>
    <t>Hernández Manzano</t>
  </si>
  <si>
    <t xml:space="preserve">Alona Konarieva </t>
  </si>
  <si>
    <t>MARTIN ECHEVARRI MADRIGAL</t>
  </si>
  <si>
    <t>Julietta Tennant</t>
  </si>
  <si>
    <t>IKER IPINTZA</t>
  </si>
  <si>
    <t>GARBIÑE MURILLO</t>
  </si>
  <si>
    <t>AINHOA IZAGUIRRE</t>
  </si>
  <si>
    <t>Nahia Fernandez</t>
  </si>
  <si>
    <t>Alejabdi elua</t>
  </si>
  <si>
    <t>BORJA GARCÍA LIZARRAGA</t>
  </si>
  <si>
    <t>Lide Mendizabal</t>
  </si>
  <si>
    <t>Tom Walsh</t>
  </si>
  <si>
    <t>Jokin Azkonobieta</t>
  </si>
  <si>
    <t>TABERNERO</t>
  </si>
  <si>
    <t>AITOR AGIRRETXE</t>
  </si>
  <si>
    <t>Arrate Gorrotxategi Lopez</t>
  </si>
  <si>
    <t>Mikel Lopetegui</t>
  </si>
  <si>
    <t xml:space="preserve">Naiara Zubeldia Alberdi </t>
  </si>
  <si>
    <t>Ion Ander Olivan Lanz</t>
  </si>
  <si>
    <t>Troitiño</t>
  </si>
  <si>
    <t>Irantzu Larrañaga</t>
  </si>
  <si>
    <t>Maria Arroyo Zufiaur</t>
  </si>
  <si>
    <t>Leandro Etxeza</t>
  </si>
  <si>
    <t>Uxue Pradera Sangroniz</t>
  </si>
  <si>
    <t>SANDRA MIGUEL MARTIN</t>
  </si>
  <si>
    <t xml:space="preserve">Bittor Urkizar </t>
  </si>
  <si>
    <t>Elizabeth Clinton</t>
  </si>
  <si>
    <t>Oli Mirador</t>
  </si>
  <si>
    <t>Paola Oliva</t>
  </si>
  <si>
    <t>YAIZA VEGA GUTIERREZ</t>
  </si>
  <si>
    <t>Carlos Iguarán</t>
  </si>
  <si>
    <t>Jessica Rozaner</t>
  </si>
  <si>
    <t>Igor Torres Castilla</t>
  </si>
  <si>
    <t>Maite Casimiro</t>
  </si>
  <si>
    <t>Guided Spain Tours SLU</t>
  </si>
  <si>
    <t>Jose Luna Garcia</t>
  </si>
  <si>
    <t>Jon Dorronsoro Aizpurua</t>
  </si>
  <si>
    <t>Ander Irigoras</t>
  </si>
  <si>
    <t>Aranzazu Aristondo</t>
  </si>
  <si>
    <t>ANE ZURUTUZA IBARGUREN</t>
  </si>
  <si>
    <t>Marta Usabiaga</t>
  </si>
  <si>
    <t>Beñat Alkorta</t>
  </si>
  <si>
    <t>Joseba Orodea Arrue</t>
  </si>
  <si>
    <t>Ellie Nicholson</t>
  </si>
  <si>
    <t>Txaber Bilbao</t>
  </si>
  <si>
    <t>Maddi Iriondo Gorostidi</t>
  </si>
  <si>
    <t>Edurne Eskisabel</t>
  </si>
  <si>
    <t>Andrea Vigo Cueva</t>
  </si>
  <si>
    <t>David Louzao</t>
  </si>
  <si>
    <t>JAVIER R ANGULO</t>
  </si>
  <si>
    <t>Ibai Etxabe Aizpurua</t>
  </si>
  <si>
    <t>Dion Zwinkels</t>
  </si>
  <si>
    <t>Xabier Lukas Solano</t>
  </si>
  <si>
    <t>Irati Cuadrado</t>
  </si>
  <si>
    <t>Hodei Urresti</t>
  </si>
  <si>
    <t>Guillermo Gabilondo</t>
  </si>
  <si>
    <t>Paula Guadix Crespo</t>
  </si>
  <si>
    <t>Iraia Prieto</t>
  </si>
  <si>
    <t>AINHOA Lopetegui Arandia</t>
  </si>
  <si>
    <t>Giulia Spigai</t>
  </si>
  <si>
    <t>Erauskin Amaia</t>
  </si>
  <si>
    <t>Eli Rodríguez</t>
  </si>
  <si>
    <t>Anakoz Amenabar</t>
  </si>
  <si>
    <t>Edorta Andueza</t>
  </si>
  <si>
    <t>Amaia Ropero</t>
  </si>
  <si>
    <t>riki virto</t>
  </si>
  <si>
    <t>Beñat Garcia</t>
  </si>
  <si>
    <t xml:space="preserve">Georgia Arkell </t>
  </si>
  <si>
    <t>Hasier De Los Rios Soraluze</t>
  </si>
  <si>
    <t>Orixe BHI</t>
  </si>
  <si>
    <t>Julieta Montoya Arias</t>
  </si>
  <si>
    <t xml:space="preserve">Peru Ruiz Irisarri </t>
  </si>
  <si>
    <t>Jon Gurrutxaga Urbieta</t>
  </si>
  <si>
    <t>Igor Igartua</t>
  </si>
  <si>
    <t>Tolosako Udala</t>
  </si>
  <si>
    <t>BORJA SOLABARRIETA ALCORTA</t>
  </si>
  <si>
    <t>Oihane Zarraga Gonzalez</t>
  </si>
  <si>
    <t>María Goñi Oleaga</t>
  </si>
  <si>
    <t>Iker Martija castellano</t>
  </si>
  <si>
    <t xml:space="preserve">
Urteaga</t>
  </si>
  <si>
    <t>Julen Fernández González</t>
  </si>
  <si>
    <t>Larrañaga</t>
  </si>
  <si>
    <t>García Aramburu</t>
  </si>
  <si>
    <t>Oihana Calvo</t>
  </si>
  <si>
    <t>XABIER AIERBE</t>
  </si>
  <si>
    <t>Olaia Martins Linaza</t>
  </si>
  <si>
    <t>Itsaso Moreno Puga</t>
  </si>
  <si>
    <t>Dylan Johnson</t>
  </si>
  <si>
    <t>Mikel Salterain</t>
  </si>
  <si>
    <t>Belen Rubio</t>
  </si>
  <si>
    <t>Ainara Salazar Blanco</t>
  </si>
  <si>
    <t>NATALIA MORIONES</t>
  </si>
  <si>
    <t>Julen Saldaña</t>
  </si>
  <si>
    <t>José Luis Lara Vázquez</t>
  </si>
  <si>
    <t>Ana Martinez</t>
  </si>
  <si>
    <t>Ane Lopez de arregi</t>
  </si>
  <si>
    <t>nuñez</t>
  </si>
  <si>
    <t>MIKEL ARIZKORRETA ALDASORO</t>
  </si>
  <si>
    <t>Mikel Manchado Jimenez</t>
  </si>
  <si>
    <t>Lide López Albisu</t>
  </si>
  <si>
    <t>egoitz Sarasua sorondo</t>
  </si>
  <si>
    <t>Gorka Rodriguez etxebeste</t>
  </si>
  <si>
    <t>Chris Wiseman</t>
  </si>
  <si>
    <t>Zuzana Dvořáčková</t>
  </si>
  <si>
    <t>Ismael Lete</t>
  </si>
  <si>
    <t>XABIER CALPARSORO LOPEZ DE ARMENTIA</t>
  </si>
  <si>
    <t>Edurne Larrasoain</t>
  </si>
  <si>
    <t>Laia Zendoia Atxega</t>
  </si>
  <si>
    <t>Manuel Otero-Gudino</t>
  </si>
  <si>
    <t>Nitin Bajaj</t>
  </si>
  <si>
    <t>Iñigo Heriz</t>
  </si>
  <si>
    <t>Javier Gonzalez</t>
  </si>
  <si>
    <t>JON AMONDARAIN JACA</t>
  </si>
  <si>
    <t>JORDINA SOLE BOLADERAS</t>
  </si>
  <si>
    <t xml:space="preserve">DOMINGO ALCAZAR LARREA </t>
  </si>
  <si>
    <t>Ainara Castellanos</t>
  </si>
  <si>
    <t>Aiora Albisu Goikoetxea</t>
  </si>
  <si>
    <t>Jon Inclan Boizas</t>
  </si>
  <si>
    <t>Sam Rayner</t>
  </si>
  <si>
    <t>Estitxu Goitia Eizmendi</t>
  </si>
  <si>
    <t>Hodei Sarasola</t>
  </si>
  <si>
    <t>Maria Luz Rodriguez Ibañez</t>
  </si>
  <si>
    <t>FÉLIX LAPUENTE JIMÉNEZ</t>
  </si>
  <si>
    <t>aingeru olabe</t>
  </si>
  <si>
    <t>Patricia Oregi Landa</t>
  </si>
  <si>
    <t>Zumalde Cortabarria</t>
  </si>
  <si>
    <t>JAVIER JAUREGUI</t>
  </si>
  <si>
    <t>Ariana Mikelarena</t>
  </si>
  <si>
    <t>Jon Mikel Udakiola Illarramendi</t>
  </si>
  <si>
    <t>Ornelia Acosta García</t>
  </si>
  <si>
    <t>Rueda Etxebarria</t>
  </si>
  <si>
    <t>Hollie Harper</t>
  </si>
  <si>
    <t>Nicolás Miñaúr Da Silva</t>
  </si>
  <si>
    <t>David Zuñeda</t>
  </si>
  <si>
    <t>Ainhoa Mardaras Maiztegui</t>
  </si>
  <si>
    <t>Amaia Turrillas Garcia</t>
  </si>
  <si>
    <t>Fulvio Conte</t>
  </si>
  <si>
    <t>Camila Stella Peralta</t>
  </si>
  <si>
    <t>Josema Cortés</t>
  </si>
  <si>
    <t>Miguel Morago López Vázquez</t>
  </si>
  <si>
    <t>Smartlog Services SL</t>
  </si>
  <si>
    <t>Gonzalo Gonzalez Aguirre</t>
  </si>
  <si>
    <t>Miren Agirrezabal</t>
  </si>
  <si>
    <t>Ainhoa Durá Anabitarte</t>
  </si>
  <si>
    <t>IRATI CALVO</t>
  </si>
  <si>
    <t>Daniel Fuentes Hernan</t>
  </si>
  <si>
    <t>MARIAN ANGELES NUÑEZ</t>
  </si>
  <si>
    <t xml:space="preserve">Maite Lopez Deogracias </t>
  </si>
  <si>
    <t>Jaione Pampliega</t>
  </si>
  <si>
    <t>mariasun mendikzabal</t>
  </si>
  <si>
    <t>Itsaso Lasa</t>
  </si>
  <si>
    <t>MARIA ANGELS NUÑEZ</t>
  </si>
  <si>
    <t>Iñigo Telleria</t>
  </si>
  <si>
    <t>DIAMA SEME</t>
  </si>
  <si>
    <t>Asier Murillo Herrera</t>
  </si>
  <si>
    <t>Junkal Carrillo Mitxelena</t>
  </si>
  <si>
    <t>ALEJANDRO ZUÑIGA</t>
  </si>
  <si>
    <t>ANGELA LOZANO</t>
  </si>
  <si>
    <t>Joana Goikoetxea</t>
  </si>
  <si>
    <t>virginia LARREA IBARZABAL</t>
  </si>
  <si>
    <t>Oriol Jorba Olmeda</t>
  </si>
  <si>
    <t>Rémi GIL</t>
  </si>
  <si>
    <t>Tania Fernández Gallego</t>
  </si>
  <si>
    <t>Aitor Sorzabal</t>
  </si>
  <si>
    <t>Claire Collins</t>
  </si>
  <si>
    <t>Sam Ryan</t>
  </si>
  <si>
    <t>Maider Aguero</t>
  </si>
  <si>
    <t>Nagore del Canto</t>
  </si>
  <si>
    <t>Rijk Reefman</t>
  </si>
  <si>
    <t>IGONE CUADRADO GARRIDO</t>
  </si>
  <si>
    <t>Ainara Martin</t>
  </si>
  <si>
    <t>Maitane Artano Aldalur</t>
  </si>
  <si>
    <t xml:space="preserve">Son 2 OTs para 4 personas. </t>
  </si>
  <si>
    <t>NO VAN CON MENÚ. HARÁN A LA CARTA. LA COMPRÓ IZARO LA EX TRABAJADORA.</t>
  </si>
  <si>
    <t>Son 2 opari txartelas, para 2 parejas diferentes. En el archivo que se les ha enviado se diferencian con 1170 (1) y 1170 (2)</t>
  </si>
  <si>
    <r>
      <rPr>
        <sz val="8"/>
        <color theme="1"/>
        <rFont val="Oswald"/>
      </rPr>
      <t xml:space="preserve">Son 2 opari txartelas, para 2 parejas diferentes. En el archivo que se les ha enviado se diferencian con 1184 (1) y 1184 (2). </t>
    </r>
    <r>
      <rPr>
        <b/>
        <sz val="8"/>
        <color theme="1"/>
        <rFont val="Oswald"/>
      </rPr>
      <t>Ya han utilizado las 2</t>
    </r>
  </si>
  <si>
    <t>Es una opari para 4</t>
  </si>
  <si>
    <t>Es el premio de Haragi Gisatu Lehiaketako Saria. ESTÁ PAGADO??? SE AMPLÍA EL PLAZO DE CADUCIDAD. EL CONCURSO NO ES HASTA EL 9 DE MAYO</t>
  </si>
  <si>
    <t>tiene que pasar a pagarla con tarjeta</t>
  </si>
  <si>
    <r>
      <rPr>
        <b/>
        <sz val="8"/>
        <color rgb="FFFF0000"/>
        <rFont val="Oswald"/>
      </rPr>
      <t>EXISTEN DOS TARJETAS CON ESTA NUMERACIÓN. COMPROBAR CUÁL ES</t>
    </r>
    <r>
      <rPr>
        <sz val="8"/>
        <color theme="1"/>
        <rFont val="Oswald"/>
      </rPr>
      <t xml:space="preserve">. La creó mal Orlando. Se ha seguido la numeración de Shopify, pero el pedido no entró por ahí. </t>
    </r>
  </si>
  <si>
    <t>NO SE HA USADO. SE HA HECHO DEVOLUCIÓN.</t>
  </si>
  <si>
    <t>Son 3 parejas independientes. En Revo están creadas todas con 1348, pero en el tarjetón se les ha puesto 1348.I   1348.II     1348.III</t>
  </si>
  <si>
    <t>REEMBOLSADO. NO SE PUEDE UTILIZAR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</si>
</sst>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0\ &quot;€&quot;;[Red]\-#,##0\ &quot;€&quot;"/>
    <numFmt numFmtId="164" formatCode="#,##0\ [$€-1]"/>
    <numFmt numFmtId="165" formatCode="d/m/yy"/>
    <numFmt numFmtId="166" formatCode="d/mm/yyyy"/>
    <numFmt numFmtId="167" formatCode="dd/mm"/>
    <numFmt numFmtId="168" formatCode="dd/mm/yy"/>
    <numFmt numFmtId="169" formatCode="d/m"/>
    <numFmt numFmtId="170" formatCode="d/m/yyyy"/>
    <numFmt numFmtId="172" formatCode="dd\-mm\-yy"/>
    <numFmt numFmtId="173" formatCode="#,##0&quot;€&quot;"/>
  </numFmts>
  <fonts count="22" x14ac:knownFonts="1">
    <font>
      <sz val="11"/>
      <color theme="1"/>
      <name val="Aptos Narrow"/>
      <family val="2"/>
      <scheme val="minor"/>
    </font>
    <font>
      <b/>
      <sz val="8"/>
      <color rgb="FFFFFFFF"/>
      <name val="Oswald"/>
    </font>
    <font>
      <b/>
      <sz val="8"/>
      <color rgb="FFB7B7B7"/>
      <name val="Oswald"/>
    </font>
    <font>
      <sz val="10"/>
      <color rgb="FF000000"/>
      <name val="Aptos Narrow"/>
      <family val="2"/>
      <scheme val="minor"/>
    </font>
    <font>
      <b/>
      <sz val="8"/>
      <color rgb="FFFF0000"/>
      <name val="Oswald"/>
    </font>
    <font>
      <sz val="8"/>
      <color theme="1"/>
      <name val="Oswald"/>
    </font>
    <font>
      <sz val="8"/>
      <color rgb="FF000000"/>
      <name val="Oswald"/>
    </font>
    <font>
      <b/>
      <strike/>
      <sz val="8"/>
      <color rgb="FFFF0000"/>
      <name val="Oswald"/>
    </font>
    <font>
      <sz val="8"/>
      <color rgb="FF1F1F1F"/>
      <name val="Oswald"/>
    </font>
    <font>
      <sz val="9"/>
      <color theme="1"/>
      <name val="Oswald"/>
    </font>
    <font>
      <u/>
      <sz val="9"/>
      <color rgb="FF1155CC"/>
      <name val="Oswald"/>
    </font>
    <font>
      <sz val="12"/>
      <color rgb="FF777777"/>
      <name val="Oswald"/>
    </font>
    <font>
      <u/>
      <sz val="8"/>
      <color rgb="FF0000FF"/>
      <name val="Oswald"/>
    </font>
    <font>
      <b/>
      <sz val="8"/>
      <color theme="1"/>
      <name val="Oswald"/>
    </font>
    <font>
      <sz val="30"/>
      <color rgb="FFFFFFFF"/>
      <name val="Oswald"/>
    </font>
    <font>
      <sz val="8"/>
      <color rgb="FFCCCCCC"/>
      <name val="Oswald"/>
    </font>
    <font>
      <sz val="9"/>
      <color rgb="FF000000"/>
      <name val="Oswald"/>
    </font>
    <font>
      <sz val="55"/>
      <color rgb="FFCCCCCC"/>
      <name val="Oswald"/>
    </font>
    <font>
      <sz val="9"/>
      <name val="Oswald"/>
    </font>
    <font>
      <sz val="8"/>
      <name val="Oswald"/>
    </font>
    <font>
      <sz val="8"/>
      <color theme="1"/>
      <name val="Aptos Narrow"/>
      <family val="2"/>
      <scheme val="minor"/>
    </font>
    <font>
      <sz val="21"/>
      <color theme="1"/>
      <name val="Oswald"/>
    </font>
  </fonts>
  <fills count="13">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theme="3" tint="0.89999084444715716"/>
        <bgColor indexed="64"/>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5" tint="0.79998168889431442"/>
        <bgColor rgb="FF00FF00"/>
      </patternFill>
    </fill>
    <fill>
      <patternFill patternType="solid">
        <fgColor rgb="FF7030A0"/>
        <bgColor indexed="64"/>
      </patternFill>
    </fill>
    <fill>
      <patternFill patternType="solid">
        <fgColor theme="6" tint="0.59999389629810485"/>
        <bgColor rgb="FF00FF00"/>
      </patternFill>
    </fill>
    <fill>
      <patternFill patternType="solid">
        <fgColor theme="6" tint="0.59999389629810485"/>
        <bgColor indexed="64"/>
      </patternFill>
    </fill>
  </fills>
  <borders count="9">
    <border>
      <left/>
      <right/>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top/>
      <bottom style="double">
        <color rgb="FF000000"/>
      </bottom>
      <diagonal/>
    </border>
    <border>
      <left style="thick">
        <color rgb="FF000000"/>
      </left>
      <right/>
      <top/>
      <bottom style="double">
        <color rgb="FF000000"/>
      </bottom>
      <diagonal/>
    </border>
    <border>
      <left/>
      <right style="thick">
        <color rgb="FF000000"/>
      </right>
      <top/>
      <bottom style="double">
        <color rgb="FF000000"/>
      </bottom>
      <diagonal/>
    </border>
    <border>
      <left style="thick">
        <color rgb="FF000000"/>
      </left>
      <right style="thick">
        <color rgb="FF000000"/>
      </right>
      <top/>
      <bottom/>
      <diagonal/>
    </border>
  </borders>
  <cellStyleXfs count="1">
    <xf numFmtId="0" fontId="0" fillId="0" borderId="0"/>
  </cellStyleXfs>
  <cellXfs count="120">
    <xf numFmtId="0" fontId="0" fillId="0" borderId="0" xfId="0"/>
    <xf numFmtId="0" fontId="1" fillId="2" borderId="0" xfId="0" applyFont="1" applyFill="1" applyAlignment="1">
      <alignment horizontal="center" vertical="center" wrapText="1"/>
    </xf>
    <xf numFmtId="1" fontId="1" fillId="2" borderId="0" xfId="0" applyNumberFormat="1" applyFont="1" applyFill="1" applyAlignment="1">
      <alignment horizontal="center" vertical="center" wrapText="1"/>
    </xf>
    <xf numFmtId="164" fontId="1" fillId="2" borderId="0" xfId="0" applyNumberFormat="1" applyFont="1" applyFill="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4" fontId="5"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4" fontId="5" fillId="3" borderId="0" xfId="0" applyNumberFormat="1" applyFont="1" applyFill="1" applyAlignment="1">
      <alignment horizontal="center" vertical="center"/>
    </xf>
    <xf numFmtId="0" fontId="5" fillId="0" borderId="0" xfId="0" quotePrefix="1"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center" vertical="center"/>
    </xf>
    <xf numFmtId="4" fontId="7" fillId="0" borderId="0" xfId="0" applyNumberFormat="1" applyFont="1" applyAlignment="1">
      <alignment horizontal="center" vertical="center"/>
    </xf>
    <xf numFmtId="16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xf>
    <xf numFmtId="4" fontId="5" fillId="0" borderId="5" xfId="0" applyNumberFormat="1" applyFont="1" applyBorder="1" applyAlignment="1">
      <alignment horizontal="center" vertical="center"/>
    </xf>
    <xf numFmtId="164" fontId="5" fillId="0" borderId="5"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168" fontId="5" fillId="0" borderId="8" xfId="0" applyNumberFormat="1" applyFont="1" applyBorder="1" applyAlignment="1">
      <alignment horizontal="center" vertical="center" wrapText="1"/>
    </xf>
    <xf numFmtId="4" fontId="5" fillId="2" borderId="0" xfId="0" applyNumberFormat="1" applyFont="1" applyFill="1" applyAlignment="1">
      <alignment horizontal="center" vertical="center"/>
    </xf>
    <xf numFmtId="0" fontId="8" fillId="4" borderId="0" xfId="0" applyFont="1" applyFill="1"/>
    <xf numFmtId="168" fontId="9" fillId="0" borderId="8" xfId="0" applyNumberFormat="1" applyFont="1" applyBorder="1" applyAlignment="1">
      <alignment horizontal="center" vertical="center" wrapText="1"/>
    </xf>
    <xf numFmtId="169" fontId="5" fillId="0" borderId="4" xfId="0" applyNumberFormat="1" applyFont="1" applyBorder="1" applyAlignment="1">
      <alignment horizontal="center" vertical="center" wrapText="1"/>
    </xf>
    <xf numFmtId="0" fontId="5" fillId="5" borderId="0" xfId="0" applyFont="1" applyFill="1" applyAlignment="1">
      <alignment horizontal="center" vertical="center"/>
    </xf>
    <xf numFmtId="0" fontId="5" fillId="5" borderId="0" xfId="0" applyFont="1" applyFill="1" applyAlignment="1">
      <alignment horizontal="left" vertical="center" wrapText="1"/>
    </xf>
    <xf numFmtId="4" fontId="5" fillId="5" borderId="0" xfId="0" applyNumberFormat="1" applyFont="1" applyFill="1" applyAlignment="1">
      <alignment horizontal="center" vertical="center"/>
    </xf>
    <xf numFmtId="164"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5" fillId="5" borderId="4" xfId="0" applyFont="1" applyFill="1" applyBorder="1" applyAlignment="1">
      <alignment horizontal="center" vertical="center" wrapText="1"/>
    </xf>
    <xf numFmtId="168" fontId="5" fillId="0" borderId="4"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0" fontId="9" fillId="0" borderId="0" xfId="0" applyFont="1"/>
    <xf numFmtId="0" fontId="10" fillId="0" borderId="0" xfId="0" applyFont="1" applyAlignment="1">
      <alignment vertical="top"/>
    </xf>
    <xf numFmtId="0" fontId="11" fillId="4" borderId="0" xfId="0" applyFont="1" applyFill="1"/>
    <xf numFmtId="0" fontId="5" fillId="0" borderId="0" xfId="0" quotePrefix="1" applyFont="1" applyAlignment="1">
      <alignment horizontal="center" vertical="center" wrapText="1"/>
    </xf>
    <xf numFmtId="49" fontId="5" fillId="0" borderId="0" xfId="0" applyNumberFormat="1"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4" fillId="0" borderId="0" xfId="0" applyFont="1" applyAlignment="1">
      <alignment horizontal="left" vertical="center" wrapText="1"/>
    </xf>
    <xf numFmtId="0" fontId="4" fillId="0" borderId="0" xfId="0" applyFont="1" applyAlignment="1">
      <alignment horizontal="center" vertical="center" wrapText="1"/>
    </xf>
    <xf numFmtId="0" fontId="15" fillId="0" borderId="0" xfId="0" applyFont="1" applyAlignment="1">
      <alignment horizontal="left" vertical="center" wrapText="1"/>
    </xf>
    <xf numFmtId="0" fontId="15" fillId="5" borderId="0" xfId="0" applyFont="1" applyFill="1" applyAlignment="1">
      <alignment horizontal="left" vertical="center" wrapText="1"/>
    </xf>
    <xf numFmtId="0" fontId="0" fillId="6" borderId="0" xfId="0" applyFill="1"/>
    <xf numFmtId="0" fontId="5" fillId="7" borderId="3" xfId="0" applyFont="1" applyFill="1" applyBorder="1" applyAlignment="1">
      <alignment horizontal="center" vertical="center"/>
    </xf>
    <xf numFmtId="4" fontId="5" fillId="7" borderId="4" xfId="0" applyNumberFormat="1" applyFont="1" applyFill="1" applyBorder="1" applyAlignment="1">
      <alignment horizontal="center" vertical="center"/>
    </xf>
    <xf numFmtId="0" fontId="5" fillId="7" borderId="0" xfId="0" applyFont="1" applyFill="1" applyAlignment="1">
      <alignment horizontal="center" vertical="center"/>
    </xf>
    <xf numFmtId="0" fontId="5" fillId="7" borderId="4" xfId="0" applyFont="1" applyFill="1" applyBorder="1" applyAlignment="1">
      <alignment horizontal="center" vertical="center"/>
    </xf>
    <xf numFmtId="165" fontId="5" fillId="7" borderId="4" xfId="0" applyNumberFormat="1" applyFont="1" applyFill="1" applyBorder="1" applyAlignment="1">
      <alignment horizontal="center" vertical="center"/>
    </xf>
    <xf numFmtId="166" fontId="5" fillId="7" borderId="4" xfId="0" applyNumberFormat="1" applyFont="1" applyFill="1" applyBorder="1" applyAlignment="1">
      <alignment horizontal="center" vertical="center"/>
    </xf>
    <xf numFmtId="3" fontId="5" fillId="7" borderId="4" xfId="0" applyNumberFormat="1" applyFont="1" applyFill="1" applyBorder="1" applyAlignment="1">
      <alignment horizontal="center" vertical="center"/>
    </xf>
    <xf numFmtId="167" fontId="5" fillId="7" borderId="4" xfId="0" applyNumberFormat="1" applyFont="1" applyFill="1" applyBorder="1" applyAlignment="1">
      <alignment horizontal="center" vertical="center"/>
    </xf>
    <xf numFmtId="0" fontId="5" fillId="7" borderId="6" xfId="0" applyFont="1" applyFill="1" applyBorder="1" applyAlignment="1">
      <alignment horizontal="center" vertical="center"/>
    </xf>
    <xf numFmtId="4" fontId="5" fillId="7" borderId="7" xfId="0" applyNumberFormat="1" applyFont="1" applyFill="1" applyBorder="1" applyAlignment="1">
      <alignment horizontal="center" vertical="center"/>
    </xf>
    <xf numFmtId="0" fontId="5" fillId="7" borderId="5" xfId="0" applyFont="1" applyFill="1" applyBorder="1" applyAlignment="1">
      <alignment horizontal="center" vertical="center"/>
    </xf>
    <xf numFmtId="0" fontId="5" fillId="7" borderId="7" xfId="0" applyFont="1" applyFill="1" applyBorder="1" applyAlignment="1">
      <alignment horizontal="center" vertical="center"/>
    </xf>
    <xf numFmtId="168" fontId="5" fillId="7" borderId="4" xfId="0" applyNumberFormat="1" applyFont="1" applyFill="1" applyBorder="1" applyAlignment="1">
      <alignment horizontal="center" vertical="center"/>
    </xf>
    <xf numFmtId="165" fontId="5" fillId="8" borderId="4" xfId="0" applyNumberFormat="1" applyFont="1" applyFill="1" applyBorder="1" applyAlignment="1">
      <alignment horizontal="center" vertical="center"/>
    </xf>
    <xf numFmtId="14" fontId="5" fillId="7" borderId="4" xfId="0" applyNumberFormat="1" applyFont="1" applyFill="1" applyBorder="1" applyAlignment="1">
      <alignment horizontal="center" vertical="center"/>
    </xf>
    <xf numFmtId="0" fontId="5" fillId="9" borderId="3" xfId="0" applyFont="1" applyFill="1" applyBorder="1" applyAlignment="1">
      <alignment horizontal="center" vertical="center"/>
    </xf>
    <xf numFmtId="168" fontId="5" fillId="9" borderId="4" xfId="0" applyNumberFormat="1" applyFont="1" applyFill="1" applyBorder="1" applyAlignment="1">
      <alignment horizontal="center" vertical="center"/>
    </xf>
    <xf numFmtId="0" fontId="5" fillId="9" borderId="0" xfId="0" applyFont="1" applyFill="1" applyAlignment="1">
      <alignment horizontal="center" vertical="center"/>
    </xf>
    <xf numFmtId="170" fontId="5" fillId="7" borderId="4" xfId="0" applyNumberFormat="1" applyFont="1" applyFill="1" applyBorder="1" applyAlignment="1">
      <alignment horizontal="center" vertical="center"/>
    </xf>
    <xf numFmtId="0" fontId="0" fillId="7" borderId="0" xfId="0" applyFill="1"/>
    <xf numFmtId="0" fontId="5" fillId="0" borderId="3" xfId="0" applyFont="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horizontal="center"/>
    </xf>
    <xf numFmtId="3" fontId="5" fillId="0" borderId="0" xfId="0" applyNumberFormat="1" applyFont="1" applyAlignment="1">
      <alignment horizontal="center" vertical="center"/>
    </xf>
    <xf numFmtId="168" fontId="5" fillId="0" borderId="3" xfId="0" applyNumberFormat="1" applyFont="1" applyBorder="1" applyAlignment="1">
      <alignment horizontal="center" vertical="center"/>
    </xf>
    <xf numFmtId="165" fontId="5" fillId="0" borderId="3" xfId="0" applyNumberFormat="1" applyFont="1" applyBorder="1" applyAlignment="1">
      <alignment horizontal="center" vertical="center"/>
    </xf>
    <xf numFmtId="167" fontId="5" fillId="0" borderId="3" xfId="0" applyNumberFormat="1" applyFont="1" applyBorder="1" applyAlignment="1">
      <alignment horizontal="center" vertical="center"/>
    </xf>
    <xf numFmtId="172" fontId="5" fillId="0" borderId="3" xfId="0" applyNumberFormat="1" applyFont="1" applyBorder="1" applyAlignment="1">
      <alignment horizontal="center" vertical="center"/>
    </xf>
    <xf numFmtId="169" fontId="5" fillId="0" borderId="3" xfId="0" applyNumberFormat="1" applyFont="1" applyBorder="1" applyAlignment="1">
      <alignment horizontal="center" vertical="center"/>
    </xf>
    <xf numFmtId="170" fontId="5" fillId="0" borderId="3" xfId="0" applyNumberFormat="1" applyFont="1" applyBorder="1" applyAlignment="1">
      <alignment horizontal="center" vertical="center"/>
    </xf>
    <xf numFmtId="0" fontId="17" fillId="4" borderId="0" xfId="0" applyFont="1" applyFill="1" applyAlignment="1">
      <alignment horizontal="left" vertical="center" wrapText="1"/>
    </xf>
    <xf numFmtId="0" fontId="6" fillId="5" borderId="0" xfId="0" applyFont="1" applyFill="1" applyAlignment="1">
      <alignment horizontal="center" vertical="center" wrapText="1"/>
    </xf>
    <xf numFmtId="0" fontId="5" fillId="4" borderId="3" xfId="0" applyFont="1" applyFill="1" applyBorder="1" applyAlignment="1">
      <alignment horizontal="center" vertical="center"/>
    </xf>
    <xf numFmtId="0" fontId="5" fillId="4" borderId="3"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6" fillId="5" borderId="0" xfId="0" applyFont="1" applyFill="1" applyAlignment="1">
      <alignment horizontal="center" vertical="center" wrapText="1"/>
    </xf>
    <xf numFmtId="168" fontId="5" fillId="4" borderId="3" xfId="0" applyNumberFormat="1" applyFont="1" applyFill="1" applyBorder="1" applyAlignment="1">
      <alignment horizontal="center" vertical="center"/>
    </xf>
    <xf numFmtId="0" fontId="16" fillId="4" borderId="0" xfId="0" applyFont="1" applyFill="1" applyAlignment="1">
      <alignment horizontal="center" vertical="center" wrapText="1"/>
    </xf>
    <xf numFmtId="173" fontId="16" fillId="4" borderId="0" xfId="0" applyNumberFormat="1" applyFont="1" applyFill="1" applyAlignment="1">
      <alignment horizontal="center" vertical="center" wrapText="1"/>
    </xf>
    <xf numFmtId="0" fontId="6" fillId="4" borderId="0" xfId="0" applyFont="1" applyFill="1" applyAlignment="1">
      <alignment horizontal="center" vertical="center" wrapText="1"/>
    </xf>
    <xf numFmtId="173" fontId="6" fillId="4" borderId="0" xfId="0" applyNumberFormat="1" applyFont="1" applyFill="1" applyAlignment="1">
      <alignment horizontal="center" vertical="center" wrapText="1"/>
    </xf>
    <xf numFmtId="168" fontId="6" fillId="4" borderId="3" xfId="0" applyNumberFormat="1"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0" fillId="10" borderId="0" xfId="0" applyFill="1"/>
    <xf numFmtId="168" fontId="5" fillId="4" borderId="8" xfId="0" applyNumberFormat="1" applyFont="1" applyFill="1" applyBorder="1" applyAlignment="1">
      <alignment horizontal="center" vertical="center" wrapText="1"/>
    </xf>
    <xf numFmtId="165" fontId="5" fillId="4" borderId="8" xfId="0" applyNumberFormat="1" applyFont="1" applyFill="1" applyBorder="1" applyAlignment="1">
      <alignment horizontal="center" vertical="center" wrapText="1"/>
    </xf>
    <xf numFmtId="168" fontId="6" fillId="4" borderId="8" xfId="0" applyNumberFormat="1" applyFont="1" applyFill="1" applyBorder="1" applyAlignment="1">
      <alignment horizontal="center" vertical="center" wrapText="1"/>
    </xf>
    <xf numFmtId="0" fontId="17" fillId="11" borderId="0" xfId="0" applyFont="1" applyFill="1" applyAlignment="1">
      <alignment horizontal="center" vertical="center" wrapText="1"/>
    </xf>
    <xf numFmtId="0" fontId="6" fillId="11" borderId="0" xfId="0" applyFont="1" applyFill="1" applyAlignment="1">
      <alignment horizontal="center" vertical="center" wrapText="1"/>
    </xf>
    <xf numFmtId="173" fontId="6" fillId="11" borderId="0" xfId="0" applyNumberFormat="1" applyFont="1" applyFill="1" applyAlignment="1">
      <alignment horizontal="center" vertical="center" wrapText="1"/>
    </xf>
    <xf numFmtId="0" fontId="0" fillId="12" borderId="0" xfId="0" applyFill="1"/>
    <xf numFmtId="0" fontId="17" fillId="11" borderId="0" xfId="0" applyFont="1" applyFill="1" applyAlignment="1">
      <alignment horizontal="left" vertical="center" wrapText="1"/>
    </xf>
    <xf numFmtId="0" fontId="16" fillId="11" borderId="0" xfId="0" applyFont="1" applyFill="1" applyAlignment="1">
      <alignment horizontal="center" vertical="center" wrapText="1"/>
    </xf>
    <xf numFmtId="173" fontId="16" fillId="11" borderId="0" xfId="0" applyNumberFormat="1" applyFont="1" applyFill="1" applyAlignment="1">
      <alignment horizontal="center" vertical="center" wrapText="1"/>
    </xf>
    <xf numFmtId="0" fontId="18" fillId="11" borderId="0" xfId="0" applyFont="1" applyFill="1" applyAlignment="1">
      <alignment horizontal="left" vertical="center" wrapText="1"/>
    </xf>
    <xf numFmtId="0" fontId="19" fillId="4" borderId="0" xfId="0" applyFont="1" applyFill="1" applyAlignment="1">
      <alignment horizontal="left" vertical="center" wrapText="1"/>
    </xf>
    <xf numFmtId="0" fontId="20" fillId="0" borderId="0" xfId="0" applyFont="1" applyAlignment="1">
      <alignment horizontal="center"/>
    </xf>
    <xf numFmtId="0" fontId="5" fillId="0" borderId="0" xfId="0" applyFont="1" applyAlignment="1">
      <alignment horizontal="center" wrapText="1"/>
    </xf>
    <xf numFmtId="3" fontId="12" fillId="0" borderId="0" xfId="0" applyNumberFormat="1" applyFont="1" applyAlignment="1">
      <alignment horizontal="center" vertical="center"/>
    </xf>
    <xf numFmtId="3" fontId="4" fillId="0" borderId="0" xfId="0" applyNumberFormat="1" applyFont="1" applyAlignment="1">
      <alignment horizontal="center" vertical="center"/>
    </xf>
    <xf numFmtId="6" fontId="0" fillId="0" borderId="0" xfId="0" applyNumberFormat="1"/>
    <xf numFmtId="165" fontId="5" fillId="0" borderId="3" xfId="0" applyNumberFormat="1" applyFont="1" applyBorder="1" applyAlignment="1">
      <alignment horizontal="center"/>
    </xf>
    <xf numFmtId="165" fontId="21" fillId="2" borderId="3" xfId="0" applyNumberFormat="1" applyFont="1" applyFill="1" applyBorder="1" applyAlignment="1">
      <alignment horizontal="center" vertical="center"/>
    </xf>
    <xf numFmtId="0" fontId="21" fillId="2" borderId="0" xfId="0" applyFont="1" applyFill="1" applyAlignment="1">
      <alignment horizontal="center" vertical="center" wrapText="1"/>
    </xf>
    <xf numFmtId="0" fontId="21" fillId="2" borderId="3" xfId="0" applyFont="1" applyFill="1" applyBorder="1" applyAlignment="1">
      <alignment horizontal="center" vertical="center" wrapText="1"/>
    </xf>
    <xf numFmtId="14" fontId="5" fillId="0" borderId="8" xfId="0" applyNumberFormat="1" applyFont="1" applyBorder="1" applyAlignment="1">
      <alignment horizontal="center" vertical="center" wrapText="1"/>
    </xf>
    <xf numFmtId="0" fontId="21" fillId="2" borderId="8" xfId="0" applyFont="1" applyFill="1" applyBorder="1" applyAlignment="1">
      <alignment horizontal="center" vertical="center" wrapText="1"/>
    </xf>
    <xf numFmtId="168" fontId="21" fillId="2" borderId="8" xfId="0" applyNumberFormat="1" applyFont="1" applyFill="1" applyBorder="1" applyAlignment="1">
      <alignment horizontal="center" vertical="center" wrapText="1"/>
    </xf>
  </cellXfs>
  <cellStyles count="1">
    <cellStyle name="Normal" xfId="0" builtinId="0"/>
  </cellStyles>
  <dxfs count="41">
    <dxf>
      <fill>
        <patternFill patternType="solid">
          <fgColor rgb="FFFF0000"/>
          <bgColor rgb="FFFF0000"/>
        </patternFill>
      </fill>
    </dxf>
    <dxf>
      <fill>
        <patternFill patternType="solid">
          <fgColor rgb="FF00FF00"/>
          <bgColor rgb="FF00FF00"/>
        </patternFill>
      </fill>
    </dxf>
    <dxf>
      <font>
        <color rgb="FFFF00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ont>
        <color rgb="FFFF00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FF00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rive.google.com/open?id=1bQuMSd29JVVxjUJzk-Bvyu8DJwkvZalg&amp;usp=drive_copy"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25EF-8884-474C-8E55-FFD9070159B4}">
  <dimension ref="A1:Z542"/>
  <sheetViews>
    <sheetView tabSelected="1" zoomScale="55" zoomScaleNormal="55" workbookViewId="0">
      <selection activeCell="P2" sqref="P2"/>
    </sheetView>
  </sheetViews>
  <sheetFormatPr baseColWidth="10" defaultRowHeight="14.25" x14ac:dyDescent="0.45"/>
  <cols>
    <col min="1" max="1" width="12.6640625" customWidth="1"/>
    <col min="2" max="2" width="23.53125" customWidth="1"/>
    <col min="3" max="3" width="12.53125" customWidth="1"/>
    <col min="6" max="7" width="14.796875" customWidth="1"/>
    <col min="8" max="8" width="16" customWidth="1"/>
    <col min="9" max="9" width="16.53125" style="50" customWidth="1"/>
    <col min="10" max="10" width="10.6640625" style="50"/>
    <col min="11" max="13" width="10.6640625" style="70"/>
    <col min="14" max="14" width="16.9296875" style="70" customWidth="1"/>
  </cols>
  <sheetData>
    <row r="1" spans="1:16" ht="33.75" thickTop="1" thickBot="1" x14ac:dyDescent="0.5">
      <c r="A1" s="1" t="s">
        <v>398</v>
      </c>
      <c r="B1" s="1" t="s">
        <v>0</v>
      </c>
      <c r="C1" s="1" t="s">
        <v>1</v>
      </c>
      <c r="D1" s="1" t="s">
        <v>8</v>
      </c>
      <c r="E1" s="1" t="s">
        <v>399</v>
      </c>
      <c r="F1" s="2" t="s">
        <v>2</v>
      </c>
      <c r="G1" s="3" t="s">
        <v>3</v>
      </c>
      <c r="H1" s="1" t="s">
        <v>4</v>
      </c>
      <c r="I1" s="5" t="s">
        <v>5</v>
      </c>
      <c r="J1" s="4" t="s">
        <v>11</v>
      </c>
      <c r="K1" s="4" t="s">
        <v>9</v>
      </c>
      <c r="L1" s="4" t="s">
        <v>12</v>
      </c>
      <c r="M1" s="4" t="s">
        <v>10</v>
      </c>
      <c r="N1" s="4" t="s">
        <v>13</v>
      </c>
      <c r="O1" s="4" t="s">
        <v>6</v>
      </c>
      <c r="P1" s="4" t="s">
        <v>7</v>
      </c>
    </row>
    <row r="2" spans="1:16" ht="16.899999999999999" thickTop="1" x14ac:dyDescent="0.45">
      <c r="A2" s="48">
        <v>1</v>
      </c>
      <c r="B2" s="6" t="s">
        <v>14</v>
      </c>
      <c r="C2" s="7"/>
      <c r="D2" s="6" t="s">
        <v>15</v>
      </c>
      <c r="E2" s="6"/>
      <c r="F2" s="8" t="s">
        <v>16</v>
      </c>
      <c r="G2" s="9">
        <v>200</v>
      </c>
      <c r="H2" s="10"/>
      <c r="K2" s="51" t="b">
        <v>1</v>
      </c>
      <c r="L2" s="52"/>
      <c r="M2" s="53" t="b">
        <v>0</v>
      </c>
      <c r="N2" s="54"/>
      <c r="O2" s="11" t="b">
        <v>1</v>
      </c>
      <c r="P2" s="11"/>
    </row>
    <row r="3" spans="1:16" ht="16.5" x14ac:dyDescent="0.45">
      <c r="A3" s="48">
        <v>2</v>
      </c>
      <c r="B3" s="6" t="s">
        <v>17</v>
      </c>
      <c r="C3" s="7"/>
      <c r="D3" s="6" t="s">
        <v>16</v>
      </c>
      <c r="E3" s="6"/>
      <c r="F3" s="8" t="s">
        <v>16</v>
      </c>
      <c r="G3" s="9">
        <v>150</v>
      </c>
      <c r="H3" s="10"/>
      <c r="K3" s="51" t="b">
        <v>1</v>
      </c>
      <c r="L3" s="52"/>
      <c r="M3" s="53" t="b">
        <v>0</v>
      </c>
      <c r="N3" s="54"/>
      <c r="O3" s="11" t="b">
        <v>1</v>
      </c>
      <c r="P3" s="11"/>
    </row>
    <row r="4" spans="1:16" ht="16.5" x14ac:dyDescent="0.45">
      <c r="A4" s="48">
        <v>3</v>
      </c>
      <c r="B4" s="6" t="s">
        <v>18</v>
      </c>
      <c r="C4" s="7"/>
      <c r="D4" s="6" t="s">
        <v>19</v>
      </c>
      <c r="E4" s="6"/>
      <c r="F4" s="8" t="s">
        <v>16</v>
      </c>
      <c r="G4" s="9">
        <v>200</v>
      </c>
      <c r="H4" s="10"/>
      <c r="K4" s="51" t="b">
        <v>1</v>
      </c>
      <c r="L4" s="52"/>
      <c r="M4" s="53" t="b">
        <v>0</v>
      </c>
      <c r="N4" s="54"/>
      <c r="O4" s="11" t="b">
        <v>1</v>
      </c>
      <c r="P4" s="11"/>
    </row>
    <row r="5" spans="1:16" ht="16.5" x14ac:dyDescent="0.45">
      <c r="A5" s="48">
        <v>4</v>
      </c>
      <c r="B5" s="6" t="s">
        <v>20</v>
      </c>
      <c r="C5" s="7"/>
      <c r="D5" s="6" t="s">
        <v>21</v>
      </c>
      <c r="E5" s="6"/>
      <c r="F5" s="8" t="s">
        <v>16</v>
      </c>
      <c r="G5" s="9">
        <v>200</v>
      </c>
      <c r="H5" s="10"/>
      <c r="K5" s="51" t="b">
        <v>1</v>
      </c>
      <c r="L5" s="52"/>
      <c r="M5" s="53" t="b">
        <v>0</v>
      </c>
      <c r="N5" s="54"/>
      <c r="O5" s="11" t="b">
        <v>0</v>
      </c>
      <c r="P5" s="11"/>
    </row>
    <row r="6" spans="1:16" ht="16.5" x14ac:dyDescent="0.45">
      <c r="A6" s="48">
        <v>5</v>
      </c>
      <c r="B6" s="6" t="s">
        <v>22</v>
      </c>
      <c r="C6" s="7"/>
      <c r="D6" s="6" t="s">
        <v>23</v>
      </c>
      <c r="E6" s="6"/>
      <c r="F6" s="8" t="s">
        <v>16</v>
      </c>
      <c r="G6" s="9">
        <v>200</v>
      </c>
      <c r="H6" s="10"/>
      <c r="K6" s="51" t="b">
        <v>1</v>
      </c>
      <c r="L6" s="55"/>
      <c r="M6" s="53" t="b">
        <v>0</v>
      </c>
      <c r="N6" s="54"/>
      <c r="O6" s="11" t="b">
        <v>1</v>
      </c>
      <c r="P6" s="11"/>
    </row>
    <row r="7" spans="1:16" ht="33" x14ac:dyDescent="0.45">
      <c r="A7" s="48">
        <v>6</v>
      </c>
      <c r="B7" s="6" t="s">
        <v>24</v>
      </c>
      <c r="C7" s="7"/>
      <c r="D7" s="6" t="s">
        <v>25</v>
      </c>
      <c r="E7" s="6"/>
      <c r="F7" s="8" t="s">
        <v>16</v>
      </c>
      <c r="G7" s="9">
        <v>200</v>
      </c>
      <c r="H7" s="10"/>
      <c r="K7" s="51" t="b">
        <v>1</v>
      </c>
      <c r="L7" s="56"/>
      <c r="M7" s="53" t="b">
        <v>0</v>
      </c>
      <c r="N7" s="54"/>
      <c r="O7" s="11" t="b">
        <v>1</v>
      </c>
      <c r="P7" s="11"/>
    </row>
    <row r="8" spans="1:16" ht="33" x14ac:dyDescent="0.45">
      <c r="A8" s="48">
        <v>7</v>
      </c>
      <c r="B8" s="6" t="s">
        <v>26</v>
      </c>
      <c r="C8" s="7"/>
      <c r="D8" s="6" t="s">
        <v>16</v>
      </c>
      <c r="E8" s="6"/>
      <c r="F8" s="8" t="s">
        <v>16</v>
      </c>
      <c r="G8" s="9">
        <v>200</v>
      </c>
      <c r="H8" s="10"/>
      <c r="K8" s="51" t="b">
        <v>1</v>
      </c>
      <c r="L8" s="55"/>
      <c r="M8" s="53" t="b">
        <v>0</v>
      </c>
      <c r="N8" s="54"/>
      <c r="O8" s="11" t="b">
        <v>1</v>
      </c>
      <c r="P8" s="11"/>
    </row>
    <row r="9" spans="1:16" ht="66" x14ac:dyDescent="0.45">
      <c r="A9" s="48">
        <v>8</v>
      </c>
      <c r="B9" s="6" t="s">
        <v>27</v>
      </c>
      <c r="C9" s="7"/>
      <c r="D9" s="6" t="s">
        <v>16</v>
      </c>
      <c r="E9" s="6"/>
      <c r="F9" s="8" t="s">
        <v>16</v>
      </c>
      <c r="G9" s="9">
        <v>180</v>
      </c>
      <c r="H9" s="10"/>
      <c r="K9" s="51" t="b">
        <v>1</v>
      </c>
      <c r="L9" s="52"/>
      <c r="M9" s="53" t="b">
        <v>0</v>
      </c>
      <c r="N9" s="54"/>
      <c r="O9" s="11" t="b">
        <v>1</v>
      </c>
      <c r="P9" s="11"/>
    </row>
    <row r="10" spans="1:16" ht="33" x14ac:dyDescent="0.45">
      <c r="A10" s="48">
        <v>9</v>
      </c>
      <c r="B10" s="6" t="s">
        <v>28</v>
      </c>
      <c r="C10" s="7"/>
      <c r="D10" s="6" t="s">
        <v>16</v>
      </c>
      <c r="E10" s="6"/>
      <c r="F10" s="8" t="s">
        <v>29</v>
      </c>
      <c r="G10" s="9">
        <v>120</v>
      </c>
      <c r="H10" s="10" t="s">
        <v>30</v>
      </c>
      <c r="K10" s="51" t="b">
        <v>0</v>
      </c>
      <c r="L10" s="52"/>
      <c r="M10" s="53" t="b">
        <v>0</v>
      </c>
      <c r="N10" s="54"/>
      <c r="O10" s="11" t="b">
        <v>0</v>
      </c>
      <c r="P10" s="11"/>
    </row>
    <row r="11" spans="1:16" ht="33" x14ac:dyDescent="0.45">
      <c r="A11" s="48">
        <v>10</v>
      </c>
      <c r="B11" s="6" t="s">
        <v>28</v>
      </c>
      <c r="C11" s="7"/>
      <c r="D11" s="6" t="s">
        <v>16</v>
      </c>
      <c r="E11" s="6"/>
      <c r="F11" s="8" t="s">
        <v>31</v>
      </c>
      <c r="G11" s="9">
        <v>120</v>
      </c>
      <c r="H11" s="10" t="s">
        <v>30</v>
      </c>
      <c r="K11" s="51" t="b">
        <v>0</v>
      </c>
      <c r="L11" s="52"/>
      <c r="M11" s="53" t="b">
        <v>0</v>
      </c>
      <c r="N11" s="54"/>
      <c r="O11" s="11" t="b">
        <v>0</v>
      </c>
      <c r="P11" s="11"/>
    </row>
    <row r="12" spans="1:16" ht="16.5" x14ac:dyDescent="0.45">
      <c r="A12" s="48">
        <v>11</v>
      </c>
      <c r="B12" s="6" t="s">
        <v>32</v>
      </c>
      <c r="C12" s="7">
        <v>688683791</v>
      </c>
      <c r="D12" s="6" t="s">
        <v>33</v>
      </c>
      <c r="E12" s="6"/>
      <c r="F12" s="8" t="s">
        <v>16</v>
      </c>
      <c r="G12" s="9">
        <v>200</v>
      </c>
      <c r="H12" s="10"/>
      <c r="K12" s="51" t="b">
        <v>1</v>
      </c>
      <c r="L12" s="52"/>
      <c r="M12" s="53" t="b">
        <v>0</v>
      </c>
      <c r="N12" s="54"/>
      <c r="O12" s="11" t="b">
        <v>1</v>
      </c>
      <c r="P12" s="11"/>
    </row>
    <row r="13" spans="1:16" ht="33" x14ac:dyDescent="0.45">
      <c r="A13" s="48">
        <v>12</v>
      </c>
      <c r="B13" s="6" t="s">
        <v>34</v>
      </c>
      <c r="C13" s="7">
        <v>685755010</v>
      </c>
      <c r="D13" s="6" t="s">
        <v>16</v>
      </c>
      <c r="E13" s="6"/>
      <c r="F13" s="8" t="s">
        <v>35</v>
      </c>
      <c r="G13" s="9">
        <v>200</v>
      </c>
      <c r="H13" s="10"/>
      <c r="K13" s="51" t="b">
        <v>1</v>
      </c>
      <c r="L13" s="52"/>
      <c r="M13" s="53" t="b">
        <v>0</v>
      </c>
      <c r="N13" s="54"/>
      <c r="O13" s="11" t="b">
        <v>0</v>
      </c>
      <c r="P13" s="11"/>
    </row>
    <row r="14" spans="1:16" ht="16.5" x14ac:dyDescent="0.45">
      <c r="A14" s="48">
        <v>13</v>
      </c>
      <c r="B14" s="6" t="s">
        <v>36</v>
      </c>
      <c r="C14" s="7"/>
      <c r="D14" s="6" t="s">
        <v>37</v>
      </c>
      <c r="E14" s="6"/>
      <c r="F14" s="8" t="s">
        <v>38</v>
      </c>
      <c r="G14" s="9">
        <v>200</v>
      </c>
      <c r="H14" s="10"/>
      <c r="K14" s="51" t="b">
        <v>1</v>
      </c>
      <c r="L14" s="52"/>
      <c r="M14" s="53" t="b">
        <v>0</v>
      </c>
      <c r="N14" s="54"/>
      <c r="O14" s="11" t="b">
        <v>1</v>
      </c>
      <c r="P14" s="11"/>
    </row>
    <row r="15" spans="1:16" ht="16.5" x14ac:dyDescent="0.45">
      <c r="A15" s="48">
        <v>14</v>
      </c>
      <c r="B15" s="6" t="s">
        <v>16</v>
      </c>
      <c r="C15" s="7"/>
      <c r="D15" s="6" t="s">
        <v>39</v>
      </c>
      <c r="E15" s="6"/>
      <c r="F15" s="12" t="s">
        <v>40</v>
      </c>
      <c r="G15" s="9">
        <v>200</v>
      </c>
      <c r="H15" s="10"/>
      <c r="K15" s="51" t="b">
        <v>1</v>
      </c>
      <c r="L15" s="52"/>
      <c r="M15" s="53" t="b">
        <v>0</v>
      </c>
      <c r="N15" s="54"/>
      <c r="O15" s="11" t="b">
        <v>0</v>
      </c>
      <c r="P15" s="11"/>
    </row>
    <row r="16" spans="1:16" ht="16.5" x14ac:dyDescent="0.45">
      <c r="A16" s="48">
        <v>15</v>
      </c>
      <c r="B16" s="6" t="s">
        <v>41</v>
      </c>
      <c r="C16" s="7"/>
      <c r="D16" s="6" t="s">
        <v>42</v>
      </c>
      <c r="E16" s="6"/>
      <c r="F16" s="8" t="s">
        <v>43</v>
      </c>
      <c r="G16" s="9">
        <v>200</v>
      </c>
      <c r="H16" s="10"/>
      <c r="K16" s="51" t="b">
        <v>1</v>
      </c>
      <c r="L16" s="52"/>
      <c r="M16" s="53" t="b">
        <v>0</v>
      </c>
      <c r="N16" s="54"/>
      <c r="O16" s="11" t="b">
        <v>1</v>
      </c>
      <c r="P16" s="11"/>
    </row>
    <row r="17" spans="1:16" ht="33" x14ac:dyDescent="0.45">
      <c r="A17" s="48">
        <v>16</v>
      </c>
      <c r="B17" s="6" t="s">
        <v>44</v>
      </c>
      <c r="C17" s="7"/>
      <c r="D17" s="6" t="s">
        <v>45</v>
      </c>
      <c r="E17" s="6"/>
      <c r="F17" s="12" t="s">
        <v>40</v>
      </c>
      <c r="G17" s="9">
        <v>200</v>
      </c>
      <c r="H17" s="10" t="s">
        <v>46</v>
      </c>
      <c r="K17" s="51" t="b">
        <v>1</v>
      </c>
      <c r="L17" s="52"/>
      <c r="M17" s="53" t="b">
        <v>0</v>
      </c>
      <c r="N17" s="54"/>
      <c r="O17" s="11" t="b">
        <v>1</v>
      </c>
      <c r="P17" s="11"/>
    </row>
    <row r="18" spans="1:16" ht="33" x14ac:dyDescent="0.45">
      <c r="A18" s="48">
        <v>17</v>
      </c>
      <c r="B18" s="6" t="s">
        <v>47</v>
      </c>
      <c r="C18" s="7"/>
      <c r="D18" s="6" t="s">
        <v>48</v>
      </c>
      <c r="E18" s="6"/>
      <c r="F18" s="8" t="s">
        <v>16</v>
      </c>
      <c r="G18" s="9">
        <v>200</v>
      </c>
      <c r="H18" s="10"/>
      <c r="K18" s="51" t="b">
        <v>1</v>
      </c>
      <c r="L18" s="52"/>
      <c r="M18" s="53" t="b">
        <v>0</v>
      </c>
      <c r="N18" s="54"/>
      <c r="O18" s="11" t="b">
        <v>1</v>
      </c>
      <c r="P18" s="11"/>
    </row>
    <row r="19" spans="1:16" ht="16.5" x14ac:dyDescent="0.45">
      <c r="A19" s="48">
        <v>18</v>
      </c>
      <c r="B19" s="6" t="s">
        <v>49</v>
      </c>
      <c r="C19" s="7">
        <v>618875737</v>
      </c>
      <c r="D19" s="6" t="s">
        <v>50</v>
      </c>
      <c r="E19" s="6"/>
      <c r="F19" s="8" t="s">
        <v>51</v>
      </c>
      <c r="G19" s="9">
        <v>200</v>
      </c>
      <c r="H19" s="10"/>
      <c r="K19" s="51" t="b">
        <v>1</v>
      </c>
      <c r="L19" s="52"/>
      <c r="M19" s="53" t="b">
        <v>0</v>
      </c>
      <c r="N19" s="54"/>
      <c r="O19" s="11" t="b">
        <v>1</v>
      </c>
      <c r="P19" s="11"/>
    </row>
    <row r="20" spans="1:16" ht="33" x14ac:dyDescent="0.45">
      <c r="A20" s="48">
        <v>19</v>
      </c>
      <c r="B20" s="6" t="s">
        <v>16</v>
      </c>
      <c r="C20" s="7"/>
      <c r="D20" s="6" t="s">
        <v>52</v>
      </c>
      <c r="E20" s="6"/>
      <c r="F20" s="8" t="s">
        <v>53</v>
      </c>
      <c r="G20" s="9">
        <v>200</v>
      </c>
      <c r="H20" s="10" t="s">
        <v>54</v>
      </c>
      <c r="K20" s="51" t="b">
        <v>0</v>
      </c>
      <c r="L20" s="52"/>
      <c r="M20" s="53" t="b">
        <v>0</v>
      </c>
      <c r="N20" s="54"/>
      <c r="O20" s="11" t="b">
        <v>1</v>
      </c>
      <c r="P20" s="11"/>
    </row>
    <row r="21" spans="1:16" ht="33" x14ac:dyDescent="0.45">
      <c r="A21" s="48">
        <v>20</v>
      </c>
      <c r="B21" s="6" t="s">
        <v>16</v>
      </c>
      <c r="C21" s="7"/>
      <c r="D21" s="6" t="s">
        <v>52</v>
      </c>
      <c r="E21" s="6"/>
      <c r="F21" s="8" t="s">
        <v>55</v>
      </c>
      <c r="G21" s="9">
        <v>200</v>
      </c>
      <c r="H21" s="10" t="s">
        <v>54</v>
      </c>
      <c r="K21" s="51" t="b">
        <v>0</v>
      </c>
      <c r="L21" s="52"/>
      <c r="M21" s="53" t="b">
        <v>0</v>
      </c>
      <c r="N21" s="54"/>
      <c r="O21" s="11" t="b">
        <v>1</v>
      </c>
      <c r="P21" s="11"/>
    </row>
    <row r="22" spans="1:16" ht="33" x14ac:dyDescent="0.45">
      <c r="A22" s="48">
        <v>21</v>
      </c>
      <c r="B22" s="6" t="s">
        <v>16</v>
      </c>
      <c r="C22" s="7"/>
      <c r="D22" s="6" t="s">
        <v>56</v>
      </c>
      <c r="E22" s="6"/>
      <c r="F22" s="13" t="s">
        <v>57</v>
      </c>
      <c r="G22" s="9">
        <v>200</v>
      </c>
      <c r="H22" s="10"/>
      <c r="K22" s="51" t="b">
        <v>1</v>
      </c>
      <c r="L22" s="57"/>
      <c r="M22" s="53" t="b">
        <v>0</v>
      </c>
      <c r="N22" s="54"/>
      <c r="O22" s="11" t="b">
        <v>1</v>
      </c>
      <c r="P22" s="11"/>
    </row>
    <row r="23" spans="1:16" ht="16.5" x14ac:dyDescent="0.45">
      <c r="A23" s="48">
        <v>22</v>
      </c>
      <c r="B23" s="6" t="s">
        <v>58</v>
      </c>
      <c r="C23" s="7"/>
      <c r="D23" s="6" t="s">
        <v>59</v>
      </c>
      <c r="E23" s="6"/>
      <c r="F23" s="8" t="s">
        <v>60</v>
      </c>
      <c r="G23" s="9">
        <v>200</v>
      </c>
      <c r="H23" s="10"/>
      <c r="K23" s="51" t="b">
        <v>1</v>
      </c>
      <c r="L23" s="52"/>
      <c r="M23" s="53" t="b">
        <v>0</v>
      </c>
      <c r="N23" s="58"/>
      <c r="O23" s="11" t="b">
        <v>1</v>
      </c>
      <c r="P23" s="11"/>
    </row>
    <row r="24" spans="1:16" ht="16.5" x14ac:dyDescent="0.45">
      <c r="A24" s="48">
        <v>23</v>
      </c>
      <c r="B24" s="6" t="s">
        <v>61</v>
      </c>
      <c r="C24" s="7">
        <v>671071522</v>
      </c>
      <c r="D24" s="6" t="s">
        <v>62</v>
      </c>
      <c r="E24" s="6"/>
      <c r="F24" s="8" t="s">
        <v>63</v>
      </c>
      <c r="G24" s="9">
        <v>200</v>
      </c>
      <c r="H24" s="10"/>
      <c r="K24" s="51" t="b">
        <v>1</v>
      </c>
      <c r="L24" s="52"/>
      <c r="M24" s="53" t="b">
        <v>0</v>
      </c>
      <c r="N24" s="54"/>
      <c r="O24" s="11" t="b">
        <v>1</v>
      </c>
      <c r="P24" s="11"/>
    </row>
    <row r="25" spans="1:16" ht="33" x14ac:dyDescent="0.45">
      <c r="A25" s="48">
        <v>24</v>
      </c>
      <c r="B25" s="6" t="s">
        <v>64</v>
      </c>
      <c r="C25" s="7">
        <v>671071522</v>
      </c>
      <c r="D25" s="6" t="s">
        <v>65</v>
      </c>
      <c r="E25" s="6"/>
      <c r="F25" s="8" t="s">
        <v>66</v>
      </c>
      <c r="G25" s="9"/>
      <c r="H25" s="10" t="s">
        <v>67</v>
      </c>
      <c r="K25" s="51" t="b">
        <v>1</v>
      </c>
      <c r="L25" s="52"/>
      <c r="M25" s="53" t="b">
        <v>0</v>
      </c>
      <c r="N25" s="54"/>
      <c r="O25" s="11" t="b">
        <v>1</v>
      </c>
      <c r="P25" s="11"/>
    </row>
    <row r="26" spans="1:16" ht="33" x14ac:dyDescent="0.45">
      <c r="A26" s="48">
        <v>25</v>
      </c>
      <c r="B26" s="6" t="s">
        <v>68</v>
      </c>
      <c r="C26" s="7"/>
      <c r="D26" s="6" t="s">
        <v>69</v>
      </c>
      <c r="E26" s="6"/>
      <c r="F26" s="8" t="s">
        <v>70</v>
      </c>
      <c r="G26" s="9">
        <v>200</v>
      </c>
      <c r="H26" s="10"/>
      <c r="K26" s="51" t="b">
        <v>1</v>
      </c>
      <c r="L26" s="52"/>
      <c r="M26" s="53" t="b">
        <v>0</v>
      </c>
      <c r="N26" s="54"/>
      <c r="O26" s="11" t="b">
        <v>1</v>
      </c>
      <c r="P26" s="11"/>
    </row>
    <row r="27" spans="1:16" ht="16.5" x14ac:dyDescent="0.45">
      <c r="A27" s="48">
        <v>26</v>
      </c>
      <c r="B27" s="6" t="s">
        <v>16</v>
      </c>
      <c r="C27" s="7"/>
      <c r="D27" s="6" t="s">
        <v>71</v>
      </c>
      <c r="E27" s="6"/>
      <c r="F27" s="8" t="s">
        <v>72</v>
      </c>
      <c r="G27" s="9">
        <v>200</v>
      </c>
      <c r="H27" s="10"/>
      <c r="K27" s="51" t="b">
        <v>1</v>
      </c>
      <c r="L27" s="52"/>
      <c r="M27" s="53" t="b">
        <v>0</v>
      </c>
      <c r="N27" s="54"/>
      <c r="O27" s="11" t="b">
        <v>0</v>
      </c>
      <c r="P27" s="11"/>
    </row>
    <row r="28" spans="1:16" ht="16.5" x14ac:dyDescent="0.45">
      <c r="A28" s="48">
        <v>27</v>
      </c>
      <c r="B28" s="6" t="s">
        <v>16</v>
      </c>
      <c r="C28" s="7">
        <v>678524584</v>
      </c>
      <c r="D28" s="6" t="s">
        <v>73</v>
      </c>
      <c r="E28" s="6"/>
      <c r="F28" s="8" t="s">
        <v>74</v>
      </c>
      <c r="G28" s="9">
        <v>200</v>
      </c>
      <c r="H28" s="10" t="s">
        <v>75</v>
      </c>
      <c r="K28" s="51" t="b">
        <v>1</v>
      </c>
      <c r="L28" s="52"/>
      <c r="M28" s="53" t="b">
        <v>1</v>
      </c>
      <c r="N28" s="54"/>
      <c r="O28" s="11" t="b">
        <v>1</v>
      </c>
      <c r="P28" s="11"/>
    </row>
    <row r="29" spans="1:16" ht="16.5" x14ac:dyDescent="0.45">
      <c r="A29" s="48">
        <v>28</v>
      </c>
      <c r="B29" s="6" t="s">
        <v>16</v>
      </c>
      <c r="C29" s="7"/>
      <c r="D29" s="6" t="s">
        <v>76</v>
      </c>
      <c r="E29" s="6"/>
      <c r="F29" s="8" t="s">
        <v>77</v>
      </c>
      <c r="G29" s="9" t="s">
        <v>78</v>
      </c>
      <c r="H29" s="10"/>
      <c r="K29" s="51" t="b">
        <v>1</v>
      </c>
      <c r="L29" s="52"/>
      <c r="M29" s="53" t="b">
        <v>0</v>
      </c>
      <c r="N29" s="54"/>
      <c r="O29" s="11" t="b">
        <v>0</v>
      </c>
      <c r="P29" s="11"/>
    </row>
    <row r="30" spans="1:16" ht="33" x14ac:dyDescent="0.45">
      <c r="A30" s="48">
        <v>29</v>
      </c>
      <c r="B30" s="6" t="s">
        <v>79</v>
      </c>
      <c r="C30" s="7"/>
      <c r="D30" s="6" t="s">
        <v>80</v>
      </c>
      <c r="E30" s="6"/>
      <c r="F30" s="8" t="s">
        <v>81</v>
      </c>
      <c r="G30" s="9">
        <v>200</v>
      </c>
      <c r="H30" s="10"/>
      <c r="K30" s="51" t="b">
        <v>1</v>
      </c>
      <c r="L30" s="52"/>
      <c r="M30" s="53" t="b">
        <v>0</v>
      </c>
      <c r="N30" s="54"/>
      <c r="O30" s="11" t="b">
        <v>1</v>
      </c>
      <c r="P30" s="11"/>
    </row>
    <row r="31" spans="1:16" ht="16.5" x14ac:dyDescent="0.45">
      <c r="A31" s="48">
        <v>30</v>
      </c>
      <c r="B31" s="6" t="s">
        <v>82</v>
      </c>
      <c r="C31" s="14">
        <v>678975705</v>
      </c>
      <c r="D31" s="6" t="s">
        <v>83</v>
      </c>
      <c r="E31" s="6"/>
      <c r="F31" s="8" t="s">
        <v>84</v>
      </c>
      <c r="G31" s="9"/>
      <c r="H31" s="10" t="s">
        <v>85</v>
      </c>
      <c r="K31" s="51" t="b">
        <v>1</v>
      </c>
      <c r="L31" s="52"/>
      <c r="M31" s="53" t="b">
        <v>0</v>
      </c>
      <c r="N31" s="54"/>
      <c r="O31" s="11" t="b">
        <v>1</v>
      </c>
      <c r="P31" s="11"/>
    </row>
    <row r="32" spans="1:16" ht="33" x14ac:dyDescent="0.45">
      <c r="A32" s="48">
        <v>31</v>
      </c>
      <c r="B32" s="15" t="s">
        <v>86</v>
      </c>
      <c r="C32" s="16"/>
      <c r="D32" s="15" t="s">
        <v>87</v>
      </c>
      <c r="E32" s="15"/>
      <c r="F32" s="17" t="s">
        <v>88</v>
      </c>
      <c r="G32" s="18">
        <v>200</v>
      </c>
      <c r="H32" s="19" t="s">
        <v>89</v>
      </c>
      <c r="K32" s="51" t="b">
        <v>1</v>
      </c>
      <c r="L32" s="52"/>
      <c r="M32" s="53" t="b">
        <v>0</v>
      </c>
      <c r="N32" s="54"/>
      <c r="O32" s="11" t="b">
        <v>0</v>
      </c>
      <c r="P32" s="11"/>
    </row>
    <row r="33" spans="1:16" ht="33.4" thickBot="1" x14ac:dyDescent="0.5">
      <c r="A33" s="48">
        <v>32</v>
      </c>
      <c r="B33" s="20" t="s">
        <v>16</v>
      </c>
      <c r="C33" s="21"/>
      <c r="D33" s="20" t="s">
        <v>90</v>
      </c>
      <c r="E33" s="20"/>
      <c r="F33" s="22" t="s">
        <v>91</v>
      </c>
      <c r="G33" s="23">
        <v>400</v>
      </c>
      <c r="H33" s="24"/>
      <c r="K33" s="59" t="b">
        <v>1</v>
      </c>
      <c r="L33" s="60"/>
      <c r="M33" s="61" t="b">
        <v>0</v>
      </c>
      <c r="N33" s="62"/>
      <c r="O33" s="25" t="b">
        <v>1</v>
      </c>
      <c r="P33" s="25"/>
    </row>
    <row r="34" spans="1:16" ht="33.4" thickTop="1" x14ac:dyDescent="0.45">
      <c r="A34" s="48">
        <v>33</v>
      </c>
      <c r="B34" s="6" t="s">
        <v>92</v>
      </c>
      <c r="C34" s="7"/>
      <c r="D34" s="6" t="s">
        <v>93</v>
      </c>
      <c r="E34" s="6"/>
      <c r="F34" s="8" t="s">
        <v>94</v>
      </c>
      <c r="G34" s="9">
        <v>200</v>
      </c>
      <c r="H34" s="10" t="s">
        <v>95</v>
      </c>
      <c r="K34" s="51" t="b">
        <v>1</v>
      </c>
      <c r="L34" s="63">
        <v>44927</v>
      </c>
      <c r="M34" s="53" t="b">
        <v>1</v>
      </c>
      <c r="N34" s="58">
        <v>44929</v>
      </c>
      <c r="O34" s="11" t="b">
        <v>0</v>
      </c>
      <c r="P34" s="26">
        <f>IF(L34="","",EDATE(L34,6))</f>
        <v>45108</v>
      </c>
    </row>
    <row r="35" spans="1:16" ht="33" x14ac:dyDescent="0.45">
      <c r="A35" s="48">
        <v>34</v>
      </c>
      <c r="B35" s="6" t="s">
        <v>16</v>
      </c>
      <c r="C35" s="7"/>
      <c r="D35" s="6" t="s">
        <v>96</v>
      </c>
      <c r="E35" s="6"/>
      <c r="F35" s="8" t="s">
        <v>97</v>
      </c>
      <c r="G35" s="9">
        <v>200</v>
      </c>
      <c r="H35" s="10" t="s">
        <v>95</v>
      </c>
      <c r="K35" s="51" t="b">
        <v>1</v>
      </c>
      <c r="L35" s="63">
        <v>44927</v>
      </c>
      <c r="M35" s="53" t="b">
        <v>1</v>
      </c>
      <c r="N35" s="58">
        <v>44929</v>
      </c>
      <c r="O35" s="11" t="b">
        <v>1</v>
      </c>
      <c r="P35" s="11"/>
    </row>
    <row r="36" spans="1:16" ht="16.5" x14ac:dyDescent="0.45">
      <c r="A36" s="48">
        <v>35</v>
      </c>
      <c r="B36" s="6" t="s">
        <v>16</v>
      </c>
      <c r="C36" s="7"/>
      <c r="D36" s="6" t="s">
        <v>98</v>
      </c>
      <c r="E36" s="6"/>
      <c r="F36" s="8" t="s">
        <v>99</v>
      </c>
      <c r="G36" s="9"/>
      <c r="H36" s="10"/>
      <c r="K36" s="51" t="b">
        <v>1</v>
      </c>
      <c r="L36" s="63">
        <v>44927</v>
      </c>
      <c r="M36" s="53" t="b">
        <v>1</v>
      </c>
      <c r="N36" s="58">
        <v>44930</v>
      </c>
      <c r="O36" s="11" t="b">
        <v>1</v>
      </c>
      <c r="P36" s="11"/>
    </row>
    <row r="37" spans="1:16" ht="33" x14ac:dyDescent="0.45">
      <c r="A37" s="48">
        <v>36</v>
      </c>
      <c r="B37" s="6" t="s">
        <v>100</v>
      </c>
      <c r="C37" s="7"/>
      <c r="D37" s="6" t="s">
        <v>101</v>
      </c>
      <c r="E37" s="6"/>
      <c r="F37" s="8" t="s">
        <v>102</v>
      </c>
      <c r="G37" s="9"/>
      <c r="H37" s="10"/>
      <c r="K37" s="51" t="b">
        <v>1</v>
      </c>
      <c r="L37" s="63">
        <v>44927</v>
      </c>
      <c r="M37" s="53" t="b">
        <v>1</v>
      </c>
      <c r="N37" s="58">
        <v>44931</v>
      </c>
      <c r="O37" s="11" t="b">
        <v>1</v>
      </c>
      <c r="P37" s="11"/>
    </row>
    <row r="38" spans="1:16" ht="16.5" x14ac:dyDescent="0.45">
      <c r="A38" s="48">
        <v>37</v>
      </c>
      <c r="B38" s="6" t="s">
        <v>103</v>
      </c>
      <c r="C38" s="7"/>
      <c r="D38" s="6" t="s">
        <v>104</v>
      </c>
      <c r="E38" s="6"/>
      <c r="F38" s="8" t="s">
        <v>105</v>
      </c>
      <c r="G38" s="9">
        <v>200</v>
      </c>
      <c r="H38" s="10"/>
      <c r="K38" s="51" t="b">
        <v>1</v>
      </c>
      <c r="L38" s="63">
        <v>44927</v>
      </c>
      <c r="M38" s="53" t="b">
        <v>0</v>
      </c>
      <c r="N38" s="54"/>
      <c r="O38" s="11" t="b">
        <v>1</v>
      </c>
      <c r="P38" s="11"/>
    </row>
    <row r="39" spans="1:16" ht="16.5" x14ac:dyDescent="0.45">
      <c r="A39" s="48">
        <v>38</v>
      </c>
      <c r="B39" s="6" t="s">
        <v>106</v>
      </c>
      <c r="C39" s="7"/>
      <c r="D39" s="6" t="s">
        <v>107</v>
      </c>
      <c r="E39" s="6"/>
      <c r="F39" s="8" t="s">
        <v>108</v>
      </c>
      <c r="G39" s="9">
        <v>200</v>
      </c>
      <c r="H39" s="10"/>
      <c r="K39" s="51" t="b">
        <v>1</v>
      </c>
      <c r="L39" s="63">
        <v>44927</v>
      </c>
      <c r="M39" s="53" t="b">
        <v>0</v>
      </c>
      <c r="N39" s="54"/>
      <c r="O39" s="11" t="b">
        <v>1</v>
      </c>
      <c r="P39" s="11"/>
    </row>
    <row r="40" spans="1:16" ht="49.5" x14ac:dyDescent="0.45">
      <c r="A40" s="48">
        <v>39</v>
      </c>
      <c r="B40" s="6" t="s">
        <v>109</v>
      </c>
      <c r="C40" s="7"/>
      <c r="D40" s="6" t="s">
        <v>110</v>
      </c>
      <c r="E40" s="6"/>
      <c r="F40" s="8" t="s">
        <v>111</v>
      </c>
      <c r="G40" s="9">
        <v>200</v>
      </c>
      <c r="H40" s="10" t="s">
        <v>112</v>
      </c>
      <c r="K40" s="51" t="b">
        <v>1</v>
      </c>
      <c r="L40" s="63"/>
      <c r="M40" s="53" t="b">
        <v>0</v>
      </c>
      <c r="N40" s="54"/>
      <c r="O40" s="11" t="b">
        <v>1</v>
      </c>
      <c r="P40" s="11"/>
    </row>
    <row r="41" spans="1:16" ht="16.5" x14ac:dyDescent="0.45">
      <c r="A41" s="48">
        <v>40</v>
      </c>
      <c r="B41" s="6" t="s">
        <v>16</v>
      </c>
      <c r="C41" s="7"/>
      <c r="D41" s="6" t="s">
        <v>113</v>
      </c>
      <c r="E41" s="6"/>
      <c r="F41" s="8" t="s">
        <v>114</v>
      </c>
      <c r="G41" s="9">
        <v>200</v>
      </c>
      <c r="H41" s="10"/>
      <c r="K41" s="51" t="b">
        <v>0</v>
      </c>
      <c r="L41" s="63">
        <v>44927</v>
      </c>
      <c r="M41" s="53" t="b">
        <v>0</v>
      </c>
      <c r="N41" s="54"/>
      <c r="O41" s="11" t="b">
        <v>0</v>
      </c>
      <c r="P41" s="26">
        <f t="shared" ref="P41:P43" si="0">IF(L41="","",EDATE(L41,6))</f>
        <v>45108</v>
      </c>
    </row>
    <row r="42" spans="1:16" ht="16.5" x14ac:dyDescent="0.45">
      <c r="A42" s="48">
        <v>41</v>
      </c>
      <c r="B42" s="6" t="s">
        <v>115</v>
      </c>
      <c r="C42" s="7"/>
      <c r="D42" s="6" t="s">
        <v>116</v>
      </c>
      <c r="E42" s="6"/>
      <c r="F42" s="8" t="s">
        <v>117</v>
      </c>
      <c r="G42" s="9">
        <v>200</v>
      </c>
      <c r="H42" s="10"/>
      <c r="K42" s="51" t="b">
        <v>0</v>
      </c>
      <c r="L42" s="63">
        <v>44927</v>
      </c>
      <c r="M42" s="53" t="b">
        <v>0</v>
      </c>
      <c r="N42" s="54"/>
      <c r="O42" s="11" t="b">
        <v>0</v>
      </c>
      <c r="P42" s="26">
        <f t="shared" si="0"/>
        <v>45108</v>
      </c>
    </row>
    <row r="43" spans="1:16" ht="16.5" x14ac:dyDescent="0.45">
      <c r="A43" s="48">
        <v>42</v>
      </c>
      <c r="B43" s="6" t="s">
        <v>16</v>
      </c>
      <c r="C43" s="7"/>
      <c r="D43" s="6" t="s">
        <v>118</v>
      </c>
      <c r="E43" s="6"/>
      <c r="F43" s="8" t="s">
        <v>119</v>
      </c>
      <c r="G43" s="9">
        <v>200</v>
      </c>
      <c r="H43" s="10"/>
      <c r="K43" s="51" t="b">
        <v>1</v>
      </c>
      <c r="L43" s="63">
        <v>44927</v>
      </c>
      <c r="M43" s="53" t="b">
        <v>0</v>
      </c>
      <c r="N43" s="54"/>
      <c r="O43" s="11" t="b">
        <v>0</v>
      </c>
      <c r="P43" s="26">
        <f t="shared" si="0"/>
        <v>45108</v>
      </c>
    </row>
    <row r="44" spans="1:16" ht="33" x14ac:dyDescent="0.45">
      <c r="A44" s="48">
        <v>43</v>
      </c>
      <c r="B44" s="6" t="s">
        <v>120</v>
      </c>
      <c r="C44" s="7"/>
      <c r="D44" s="6" t="s">
        <v>121</v>
      </c>
      <c r="E44" s="6"/>
      <c r="F44" s="8" t="s">
        <v>122</v>
      </c>
      <c r="G44" s="9">
        <v>200</v>
      </c>
      <c r="H44" s="10"/>
      <c r="K44" s="51" t="b">
        <v>1</v>
      </c>
      <c r="L44" s="63">
        <v>44927</v>
      </c>
      <c r="M44" s="53" t="b">
        <v>0</v>
      </c>
      <c r="N44" s="54"/>
      <c r="O44" s="11" t="b">
        <v>1</v>
      </c>
      <c r="P44" s="11"/>
    </row>
    <row r="45" spans="1:16" ht="16.5" x14ac:dyDescent="0.45">
      <c r="A45" s="48">
        <v>44</v>
      </c>
      <c r="B45" s="6" t="s">
        <v>14</v>
      </c>
      <c r="C45" s="7"/>
      <c r="D45" s="6" t="s">
        <v>123</v>
      </c>
      <c r="E45" s="6"/>
      <c r="F45" s="8" t="s">
        <v>124</v>
      </c>
      <c r="G45" s="9">
        <v>180</v>
      </c>
      <c r="H45" s="10"/>
      <c r="K45" s="51" t="b">
        <v>1</v>
      </c>
      <c r="L45" s="63">
        <v>44927</v>
      </c>
      <c r="M45" s="53" t="b">
        <v>0</v>
      </c>
      <c r="N45" s="54"/>
      <c r="O45" s="11" t="b">
        <v>1</v>
      </c>
      <c r="P45" s="11"/>
    </row>
    <row r="46" spans="1:16" ht="16.5" x14ac:dyDescent="0.45">
      <c r="A46" s="48">
        <v>45</v>
      </c>
      <c r="B46" s="6" t="s">
        <v>17</v>
      </c>
      <c r="C46" s="7"/>
      <c r="D46" s="6" t="s">
        <v>125</v>
      </c>
      <c r="E46" s="6"/>
      <c r="F46" s="8" t="s">
        <v>126</v>
      </c>
      <c r="G46" s="9">
        <v>200</v>
      </c>
      <c r="H46" s="10"/>
      <c r="K46" s="51" t="b">
        <v>1</v>
      </c>
      <c r="L46" s="63">
        <v>44927</v>
      </c>
      <c r="M46" s="53" t="b">
        <v>0</v>
      </c>
      <c r="N46" s="54"/>
      <c r="O46" s="11" t="b">
        <v>1</v>
      </c>
      <c r="P46" s="11"/>
    </row>
    <row r="47" spans="1:16" ht="16.5" x14ac:dyDescent="0.45">
      <c r="A47" s="48">
        <v>46</v>
      </c>
      <c r="B47" s="6" t="s">
        <v>18</v>
      </c>
      <c r="C47" s="7"/>
      <c r="D47" s="6" t="s">
        <v>127</v>
      </c>
      <c r="E47" s="6"/>
      <c r="F47" s="8" t="s">
        <v>128</v>
      </c>
      <c r="G47" s="9">
        <v>200</v>
      </c>
      <c r="H47" s="10"/>
      <c r="K47" s="51" t="b">
        <v>1</v>
      </c>
      <c r="L47" s="63">
        <v>44927</v>
      </c>
      <c r="M47" s="53" t="b">
        <v>0</v>
      </c>
      <c r="N47" s="54"/>
      <c r="O47" s="11" t="b">
        <v>0</v>
      </c>
      <c r="P47" s="26">
        <f>IF(L47="","",EDATE(L47,6))</f>
        <v>45108</v>
      </c>
    </row>
    <row r="48" spans="1:16" ht="16.5" x14ac:dyDescent="0.45">
      <c r="A48" s="48">
        <v>47</v>
      </c>
      <c r="B48" s="6" t="s">
        <v>20</v>
      </c>
      <c r="C48" s="7">
        <v>660461804</v>
      </c>
      <c r="D48" s="6" t="s">
        <v>129</v>
      </c>
      <c r="E48" s="6"/>
      <c r="F48" s="8" t="s">
        <v>130</v>
      </c>
      <c r="G48" s="9">
        <v>200</v>
      </c>
      <c r="H48" s="10"/>
      <c r="K48" s="51" t="b">
        <v>1</v>
      </c>
      <c r="L48" s="63">
        <v>45010</v>
      </c>
      <c r="M48" s="53" t="b">
        <v>1</v>
      </c>
      <c r="N48" s="58">
        <v>45010</v>
      </c>
      <c r="O48" s="11" t="b">
        <v>1</v>
      </c>
      <c r="P48" s="11"/>
    </row>
    <row r="49" spans="1:16" ht="16.5" x14ac:dyDescent="0.45">
      <c r="A49" s="48">
        <v>48</v>
      </c>
      <c r="B49" s="6" t="s">
        <v>22</v>
      </c>
      <c r="C49" s="7"/>
      <c r="D49" s="6"/>
      <c r="E49" s="6"/>
      <c r="F49" s="27"/>
      <c r="G49" s="9">
        <v>200</v>
      </c>
      <c r="H49" s="10" t="s">
        <v>131</v>
      </c>
      <c r="K49" s="51" t="b">
        <v>1</v>
      </c>
      <c r="L49" s="64"/>
      <c r="M49" s="53" t="b">
        <v>0</v>
      </c>
      <c r="N49" s="54"/>
      <c r="O49" s="11" t="b">
        <v>0</v>
      </c>
      <c r="P49" s="26" t="str">
        <f>IF(L49="","",EDATE(L49,6))</f>
        <v/>
      </c>
    </row>
    <row r="50" spans="1:16" ht="16.5" x14ac:dyDescent="0.45">
      <c r="A50" s="48">
        <v>49</v>
      </c>
      <c r="B50" s="6" t="s">
        <v>24</v>
      </c>
      <c r="C50" s="7" t="s">
        <v>16</v>
      </c>
      <c r="D50" s="6" t="s">
        <v>16</v>
      </c>
      <c r="E50" s="6"/>
      <c r="F50" s="8" t="s">
        <v>132</v>
      </c>
      <c r="G50" s="9">
        <v>200</v>
      </c>
      <c r="H50" s="10"/>
      <c r="K50" s="51" t="b">
        <v>1</v>
      </c>
      <c r="L50" s="63">
        <v>45033</v>
      </c>
      <c r="M50" s="53" t="b">
        <v>1</v>
      </c>
      <c r="N50" s="54"/>
      <c r="O50" s="11" t="b">
        <v>1</v>
      </c>
      <c r="P50" s="11"/>
    </row>
    <row r="51" spans="1:16" ht="33" x14ac:dyDescent="0.8">
      <c r="A51" s="48">
        <v>50</v>
      </c>
      <c r="B51" s="6" t="s">
        <v>26</v>
      </c>
      <c r="C51" s="28">
        <v>671162811</v>
      </c>
      <c r="D51" s="6" t="s">
        <v>133</v>
      </c>
      <c r="E51" s="6"/>
      <c r="F51" s="8" t="s">
        <v>134</v>
      </c>
      <c r="G51" s="9">
        <v>200</v>
      </c>
      <c r="H51" s="10"/>
      <c r="K51" s="51" t="b">
        <v>1</v>
      </c>
      <c r="L51" s="63">
        <v>45038</v>
      </c>
      <c r="M51" s="53" t="b">
        <v>1</v>
      </c>
      <c r="N51" s="63">
        <v>45038</v>
      </c>
      <c r="O51" s="11" t="b">
        <v>1</v>
      </c>
      <c r="P51" s="11"/>
    </row>
    <row r="52" spans="1:16" ht="66" x14ac:dyDescent="0.45">
      <c r="A52" s="48">
        <v>51</v>
      </c>
      <c r="B52" s="6" t="s">
        <v>27</v>
      </c>
      <c r="C52" s="7">
        <v>695708626</v>
      </c>
      <c r="D52" s="6" t="s">
        <v>135</v>
      </c>
      <c r="E52" s="6"/>
      <c r="F52" s="8" t="s">
        <v>136</v>
      </c>
      <c r="G52" s="9">
        <v>200</v>
      </c>
      <c r="H52" s="10"/>
      <c r="K52" s="51" t="b">
        <v>1</v>
      </c>
      <c r="L52" s="63">
        <v>45045</v>
      </c>
      <c r="M52" s="53" t="b">
        <v>1</v>
      </c>
      <c r="N52" s="63">
        <v>45045</v>
      </c>
      <c r="O52" s="11" t="b">
        <v>1</v>
      </c>
      <c r="P52" s="11"/>
    </row>
    <row r="53" spans="1:16" ht="33" x14ac:dyDescent="0.45">
      <c r="A53" s="48">
        <v>52</v>
      </c>
      <c r="B53" s="6" t="s">
        <v>28</v>
      </c>
      <c r="C53" s="7">
        <v>610628863</v>
      </c>
      <c r="D53" s="6" t="s">
        <v>137</v>
      </c>
      <c r="E53" s="6"/>
      <c r="F53" s="8" t="s">
        <v>138</v>
      </c>
      <c r="G53" s="9">
        <v>200</v>
      </c>
      <c r="H53" s="10"/>
      <c r="K53" s="51" t="b">
        <v>1</v>
      </c>
      <c r="L53" s="63">
        <v>45079</v>
      </c>
      <c r="M53" s="53" t="b">
        <v>1</v>
      </c>
      <c r="N53" s="63">
        <v>45079</v>
      </c>
      <c r="O53" s="11" t="b">
        <v>1</v>
      </c>
      <c r="P53" s="11"/>
    </row>
    <row r="54" spans="1:16" ht="33" x14ac:dyDescent="0.45">
      <c r="A54" s="48">
        <v>53</v>
      </c>
      <c r="B54" s="6" t="s">
        <v>28</v>
      </c>
      <c r="C54" s="7"/>
      <c r="D54" s="6" t="s">
        <v>139</v>
      </c>
      <c r="E54" s="6"/>
      <c r="F54" s="8" t="s">
        <v>140</v>
      </c>
      <c r="G54" s="9">
        <v>200</v>
      </c>
      <c r="H54" s="10"/>
      <c r="K54" s="51" t="b">
        <v>1</v>
      </c>
      <c r="L54" s="63"/>
      <c r="M54" s="53" t="b">
        <v>1</v>
      </c>
      <c r="N54" s="54"/>
      <c r="O54" s="11" t="b">
        <v>1</v>
      </c>
      <c r="P54" s="11"/>
    </row>
    <row r="55" spans="1:16" ht="33" x14ac:dyDescent="0.45">
      <c r="A55" s="48">
        <v>54</v>
      </c>
      <c r="B55" s="6" t="s">
        <v>32</v>
      </c>
      <c r="C55" s="7"/>
      <c r="D55" s="6" t="s">
        <v>141</v>
      </c>
      <c r="E55" s="6"/>
      <c r="F55" s="8" t="s">
        <v>142</v>
      </c>
      <c r="G55" s="9">
        <v>200</v>
      </c>
      <c r="H55" s="10"/>
      <c r="K55" s="51" t="b">
        <v>1</v>
      </c>
      <c r="L55" s="63"/>
      <c r="M55" s="53" t="b">
        <v>1</v>
      </c>
      <c r="N55" s="54"/>
      <c r="O55" s="11" t="b">
        <v>1</v>
      </c>
      <c r="P55" s="11"/>
    </row>
    <row r="56" spans="1:16" ht="33" x14ac:dyDescent="0.45">
      <c r="A56" s="48">
        <v>55</v>
      </c>
      <c r="B56" s="6" t="s">
        <v>34</v>
      </c>
      <c r="C56" s="7"/>
      <c r="D56" s="6" t="s">
        <v>118</v>
      </c>
      <c r="E56" s="6"/>
      <c r="F56" s="8" t="s">
        <v>143</v>
      </c>
      <c r="G56" s="9">
        <v>300</v>
      </c>
      <c r="H56" s="10"/>
      <c r="K56" s="51" t="b">
        <v>1</v>
      </c>
      <c r="L56" s="52"/>
      <c r="M56" s="53" t="b">
        <v>1</v>
      </c>
      <c r="N56" s="54"/>
      <c r="O56" s="11" t="b">
        <v>1</v>
      </c>
      <c r="P56" s="11"/>
    </row>
    <row r="57" spans="1:16" ht="33" x14ac:dyDescent="0.45">
      <c r="A57" s="48">
        <v>56</v>
      </c>
      <c r="B57" s="6" t="s">
        <v>36</v>
      </c>
      <c r="C57" s="7"/>
      <c r="D57" s="6" t="s">
        <v>144</v>
      </c>
      <c r="E57" s="6"/>
      <c r="F57" s="8" t="s">
        <v>145</v>
      </c>
      <c r="G57" s="9">
        <v>200</v>
      </c>
      <c r="H57" s="10" t="s">
        <v>146</v>
      </c>
      <c r="K57" s="51" t="b">
        <v>1</v>
      </c>
      <c r="L57" s="52"/>
      <c r="M57" s="53" t="b">
        <v>1</v>
      </c>
      <c r="N57" s="54"/>
      <c r="O57" s="11" t="b">
        <v>1</v>
      </c>
      <c r="P57" s="26" t="str">
        <f>IF(L57="","",EDATE(L57,6))</f>
        <v/>
      </c>
    </row>
    <row r="58" spans="1:16" ht="33" x14ac:dyDescent="0.45">
      <c r="A58" s="48">
        <v>57</v>
      </c>
      <c r="B58" s="6" t="s">
        <v>16</v>
      </c>
      <c r="C58" s="7"/>
      <c r="D58" s="6" t="s">
        <v>147</v>
      </c>
      <c r="E58" s="6"/>
      <c r="F58" s="8" t="s">
        <v>148</v>
      </c>
      <c r="G58" s="9">
        <v>200</v>
      </c>
      <c r="H58" s="10" t="s">
        <v>149</v>
      </c>
      <c r="K58" s="51" t="b">
        <v>1</v>
      </c>
      <c r="L58" s="52"/>
      <c r="M58" s="53" t="b">
        <v>0</v>
      </c>
      <c r="N58" s="54"/>
      <c r="O58" s="11" t="b">
        <v>1</v>
      </c>
      <c r="P58" s="11"/>
    </row>
    <row r="59" spans="1:16" ht="33" x14ac:dyDescent="0.45">
      <c r="A59" s="48">
        <v>58</v>
      </c>
      <c r="B59" s="6" t="s">
        <v>41</v>
      </c>
      <c r="C59" s="7"/>
      <c r="D59" s="6">
        <v>610395640</v>
      </c>
      <c r="E59" s="6"/>
      <c r="F59" s="8" t="s">
        <v>150</v>
      </c>
      <c r="G59" s="9"/>
      <c r="H59" s="10" t="s">
        <v>151</v>
      </c>
      <c r="K59" s="51" t="b">
        <v>0</v>
      </c>
      <c r="L59" s="52"/>
      <c r="M59" s="53" t="b">
        <v>0</v>
      </c>
      <c r="N59" s="54"/>
      <c r="O59" s="11" t="b">
        <v>1</v>
      </c>
      <c r="P59" s="26" t="str">
        <f>IF(L59="","",EDATE(L59,6))</f>
        <v/>
      </c>
    </row>
    <row r="60" spans="1:16" ht="33" x14ac:dyDescent="0.45">
      <c r="A60" s="48">
        <v>59</v>
      </c>
      <c r="B60" s="6" t="s">
        <v>44</v>
      </c>
      <c r="C60" s="7">
        <v>679399530</v>
      </c>
      <c r="D60" s="6" t="s">
        <v>152</v>
      </c>
      <c r="E60" s="6"/>
      <c r="F60" s="8" t="s">
        <v>153</v>
      </c>
      <c r="G60" s="9">
        <v>200</v>
      </c>
      <c r="H60" s="10" t="s">
        <v>154</v>
      </c>
      <c r="K60" s="51" t="b">
        <v>1</v>
      </c>
      <c r="L60" s="63">
        <v>45178</v>
      </c>
      <c r="M60" s="53" t="b">
        <v>1</v>
      </c>
      <c r="N60" s="63">
        <v>45178</v>
      </c>
      <c r="O60" s="11" t="b">
        <v>1</v>
      </c>
      <c r="P60" s="11"/>
    </row>
    <row r="61" spans="1:16" ht="33" x14ac:dyDescent="0.45">
      <c r="A61" s="48">
        <v>60</v>
      </c>
      <c r="B61" s="6" t="s">
        <v>47</v>
      </c>
      <c r="C61" s="7"/>
      <c r="D61" s="6" t="s">
        <v>155</v>
      </c>
      <c r="E61" s="6"/>
      <c r="F61" s="8" t="s">
        <v>156</v>
      </c>
      <c r="G61" s="9">
        <v>220</v>
      </c>
      <c r="H61" s="10" t="s">
        <v>157</v>
      </c>
      <c r="K61" s="51" t="b">
        <v>0</v>
      </c>
      <c r="L61" s="52"/>
      <c r="M61" s="53" t="b">
        <v>0</v>
      </c>
      <c r="N61" s="54"/>
      <c r="O61" s="11" t="b">
        <v>1</v>
      </c>
      <c r="P61" s="11"/>
    </row>
    <row r="62" spans="1:16" ht="16.5" x14ac:dyDescent="0.45">
      <c r="A62" s="48">
        <v>61</v>
      </c>
      <c r="B62" s="6" t="s">
        <v>49</v>
      </c>
      <c r="C62" s="7">
        <v>671650908</v>
      </c>
      <c r="D62" s="6" t="s">
        <v>158</v>
      </c>
      <c r="E62" s="6"/>
      <c r="F62" s="8" t="s">
        <v>159</v>
      </c>
      <c r="G62" s="9">
        <v>200</v>
      </c>
      <c r="H62" s="10"/>
      <c r="K62" s="51" t="b">
        <v>1</v>
      </c>
      <c r="L62" s="63">
        <v>45185</v>
      </c>
      <c r="M62" s="53" t="b">
        <v>1</v>
      </c>
      <c r="N62" s="63">
        <v>45185</v>
      </c>
      <c r="O62" s="11" t="b">
        <v>1</v>
      </c>
      <c r="P62" s="11"/>
    </row>
    <row r="63" spans="1:16" ht="33" x14ac:dyDescent="0.45">
      <c r="A63" s="48">
        <v>62</v>
      </c>
      <c r="B63" s="6" t="s">
        <v>16</v>
      </c>
      <c r="C63" s="7">
        <v>671650908</v>
      </c>
      <c r="D63" s="6" t="s">
        <v>160</v>
      </c>
      <c r="E63" s="6"/>
      <c r="F63" s="8" t="s">
        <v>161</v>
      </c>
      <c r="G63" s="9">
        <v>200</v>
      </c>
      <c r="H63" s="10"/>
      <c r="K63" s="51" t="b">
        <v>1</v>
      </c>
      <c r="L63" s="63">
        <v>45185</v>
      </c>
      <c r="M63" s="53" t="b">
        <v>1</v>
      </c>
      <c r="N63" s="63">
        <v>45185</v>
      </c>
      <c r="O63" s="11" t="b">
        <v>1</v>
      </c>
      <c r="P63" s="11"/>
    </row>
    <row r="64" spans="1:16" ht="16.5" x14ac:dyDescent="0.45">
      <c r="A64" s="48">
        <v>63</v>
      </c>
      <c r="B64" s="6" t="s">
        <v>16</v>
      </c>
      <c r="C64" s="7">
        <v>671650908</v>
      </c>
      <c r="D64" s="6" t="s">
        <v>162</v>
      </c>
      <c r="E64" s="6"/>
      <c r="F64" s="8" t="s">
        <v>163</v>
      </c>
      <c r="G64" s="9">
        <v>200</v>
      </c>
      <c r="H64" s="10"/>
      <c r="K64" s="51" t="b">
        <v>1</v>
      </c>
      <c r="L64" s="63">
        <v>45185</v>
      </c>
      <c r="M64" s="53" t="b">
        <v>1</v>
      </c>
      <c r="N64" s="63">
        <v>45185</v>
      </c>
      <c r="O64" s="11" t="b">
        <v>1</v>
      </c>
      <c r="P64" s="11"/>
    </row>
    <row r="65" spans="1:16" ht="16.5" x14ac:dyDescent="0.45">
      <c r="A65" s="48">
        <v>64</v>
      </c>
      <c r="B65" s="6" t="s">
        <v>16</v>
      </c>
      <c r="C65" s="7"/>
      <c r="D65" s="6" t="s">
        <v>164</v>
      </c>
      <c r="E65" s="6"/>
      <c r="F65" s="8" t="s">
        <v>165</v>
      </c>
      <c r="G65" s="9">
        <v>220</v>
      </c>
      <c r="H65" s="10"/>
      <c r="K65" s="51" t="b">
        <v>1</v>
      </c>
      <c r="L65" s="52"/>
      <c r="M65" s="53" t="b">
        <v>0</v>
      </c>
      <c r="N65" s="54"/>
      <c r="O65" s="11" t="b">
        <v>1</v>
      </c>
      <c r="P65" s="11"/>
    </row>
    <row r="66" spans="1:16" ht="16.5" x14ac:dyDescent="0.45">
      <c r="A66" s="48">
        <v>65</v>
      </c>
      <c r="B66" s="6" t="s">
        <v>58</v>
      </c>
      <c r="C66" s="7"/>
      <c r="D66" s="6" t="s">
        <v>166</v>
      </c>
      <c r="E66" s="6"/>
      <c r="F66" s="8" t="s">
        <v>167</v>
      </c>
      <c r="G66" s="9">
        <v>220</v>
      </c>
      <c r="H66" s="10" t="s">
        <v>168</v>
      </c>
      <c r="K66" s="51" t="b">
        <v>1</v>
      </c>
      <c r="L66" s="52"/>
      <c r="M66" s="53" t="b">
        <v>1</v>
      </c>
      <c r="N66" s="54"/>
      <c r="O66" s="11" t="b">
        <v>1</v>
      </c>
      <c r="P66" s="11"/>
    </row>
    <row r="67" spans="1:16" ht="49.5" x14ac:dyDescent="0.45">
      <c r="A67" s="48">
        <v>66</v>
      </c>
      <c r="B67" s="6" t="s">
        <v>61</v>
      </c>
      <c r="C67" s="7"/>
      <c r="D67" s="6" t="s">
        <v>169</v>
      </c>
      <c r="E67" s="6"/>
      <c r="F67" s="8" t="s">
        <v>170</v>
      </c>
      <c r="G67" s="9">
        <v>220</v>
      </c>
      <c r="H67" s="10" t="s">
        <v>171</v>
      </c>
      <c r="K67" s="51" t="b">
        <v>1</v>
      </c>
      <c r="L67" s="52"/>
      <c r="M67" s="53" t="b">
        <v>1</v>
      </c>
      <c r="N67" s="54"/>
      <c r="O67" s="11" t="b">
        <v>1</v>
      </c>
      <c r="P67" s="26" t="str">
        <f t="shared" ref="P67:P69" si="1">IF(L67="","",EDATE(L67,6))</f>
        <v/>
      </c>
    </row>
    <row r="68" spans="1:16" ht="16.5" x14ac:dyDescent="0.45">
      <c r="A68" s="48">
        <v>67</v>
      </c>
      <c r="B68" s="6" t="s">
        <v>64</v>
      </c>
      <c r="C68" s="7"/>
      <c r="D68" s="6" t="s">
        <v>172</v>
      </c>
      <c r="E68" s="6"/>
      <c r="F68" s="8" t="s">
        <v>173</v>
      </c>
      <c r="G68" s="9">
        <v>220</v>
      </c>
      <c r="H68" s="10"/>
      <c r="K68" s="51" t="b">
        <v>1</v>
      </c>
      <c r="L68" s="52"/>
      <c r="M68" s="53" t="b">
        <v>1</v>
      </c>
      <c r="N68" s="54"/>
      <c r="O68" s="11" t="b">
        <v>1</v>
      </c>
      <c r="P68" s="26" t="str">
        <f t="shared" si="1"/>
        <v/>
      </c>
    </row>
    <row r="69" spans="1:16" ht="16.5" x14ac:dyDescent="0.45">
      <c r="A69" s="48">
        <v>68</v>
      </c>
      <c r="B69" s="6" t="s">
        <v>68</v>
      </c>
      <c r="C69" s="7"/>
      <c r="D69" s="6" t="s">
        <v>174</v>
      </c>
      <c r="E69" s="6"/>
      <c r="F69" s="8" t="s">
        <v>175</v>
      </c>
      <c r="G69" s="9">
        <v>220</v>
      </c>
      <c r="H69" s="10"/>
      <c r="K69" s="51" t="b">
        <v>1</v>
      </c>
      <c r="L69" s="52"/>
      <c r="M69" s="53" t="b">
        <v>1</v>
      </c>
      <c r="N69" s="54"/>
      <c r="O69" s="11" t="b">
        <v>1</v>
      </c>
      <c r="P69" s="26" t="str">
        <f t="shared" si="1"/>
        <v/>
      </c>
    </row>
    <row r="70" spans="1:16" ht="16.5" x14ac:dyDescent="0.45">
      <c r="A70" s="48">
        <v>69</v>
      </c>
      <c r="B70" s="6" t="s">
        <v>16</v>
      </c>
      <c r="C70" s="7">
        <v>627505407</v>
      </c>
      <c r="D70" s="6" t="s">
        <v>176</v>
      </c>
      <c r="E70" s="6"/>
      <c r="F70" s="8" t="s">
        <v>177</v>
      </c>
      <c r="G70" s="9">
        <v>440</v>
      </c>
      <c r="H70" s="10"/>
      <c r="K70" s="51" t="b">
        <v>1</v>
      </c>
      <c r="L70" s="65">
        <v>45233</v>
      </c>
      <c r="M70" s="53" t="b">
        <v>1</v>
      </c>
      <c r="N70" s="54"/>
      <c r="O70" s="11" t="b">
        <v>1</v>
      </c>
      <c r="P70" s="11" t="s">
        <v>178</v>
      </c>
    </row>
    <row r="71" spans="1:16" ht="49.5" x14ac:dyDescent="0.45">
      <c r="A71" s="48">
        <v>70</v>
      </c>
      <c r="B71" s="6" t="s">
        <v>16</v>
      </c>
      <c r="C71" s="7"/>
      <c r="D71" s="6" t="s">
        <v>179</v>
      </c>
      <c r="E71" s="6"/>
      <c r="F71" s="8" t="s">
        <v>180</v>
      </c>
      <c r="G71" s="9">
        <v>220</v>
      </c>
      <c r="H71" s="10" t="s">
        <v>181</v>
      </c>
      <c r="K71" s="51" t="b">
        <v>1</v>
      </c>
      <c r="L71" s="52"/>
      <c r="M71" s="53" t="b">
        <v>1</v>
      </c>
      <c r="N71" s="54"/>
      <c r="O71" s="11" t="b">
        <v>1</v>
      </c>
      <c r="P71" s="26" t="str">
        <f>IF(L71="","",EDATE(L71,6))</f>
        <v/>
      </c>
    </row>
    <row r="72" spans="1:16" ht="16.5" x14ac:dyDescent="0.45">
      <c r="A72" s="48">
        <v>71</v>
      </c>
      <c r="B72" s="6" t="s">
        <v>16</v>
      </c>
      <c r="C72" s="7"/>
      <c r="D72" s="6" t="s">
        <v>182</v>
      </c>
      <c r="E72" s="6"/>
      <c r="F72" s="8" t="s">
        <v>183</v>
      </c>
      <c r="G72" s="9">
        <v>220</v>
      </c>
      <c r="H72" s="10"/>
      <c r="K72" s="51" t="b">
        <v>1</v>
      </c>
      <c r="L72" s="52"/>
      <c r="M72" s="53" t="b">
        <v>1</v>
      </c>
      <c r="N72" s="54"/>
      <c r="O72" s="11" t="b">
        <v>1</v>
      </c>
      <c r="P72" s="11" t="s">
        <v>184</v>
      </c>
    </row>
    <row r="73" spans="1:16" ht="16.5" x14ac:dyDescent="0.45">
      <c r="A73" s="48">
        <v>72</v>
      </c>
      <c r="B73" s="6" t="s">
        <v>79</v>
      </c>
      <c r="C73" s="7">
        <v>630652346</v>
      </c>
      <c r="D73" s="6" t="s">
        <v>185</v>
      </c>
      <c r="E73" s="6"/>
      <c r="F73" s="8" t="s">
        <v>186</v>
      </c>
      <c r="G73" s="9">
        <v>220</v>
      </c>
      <c r="H73" s="10"/>
      <c r="K73" s="51" t="b">
        <v>1</v>
      </c>
      <c r="L73" s="52"/>
      <c r="M73" s="53" t="b">
        <v>1</v>
      </c>
      <c r="N73" s="54"/>
      <c r="O73" s="11" t="b">
        <v>1</v>
      </c>
      <c r="P73" s="11" t="s">
        <v>187</v>
      </c>
    </row>
    <row r="74" spans="1:16" ht="16.5" x14ac:dyDescent="0.45">
      <c r="A74" s="48">
        <v>73</v>
      </c>
      <c r="B74" s="6" t="s">
        <v>82</v>
      </c>
      <c r="C74" s="7">
        <v>647516009</v>
      </c>
      <c r="D74" s="6" t="s">
        <v>188</v>
      </c>
      <c r="E74" s="6"/>
      <c r="F74" s="8" t="s">
        <v>189</v>
      </c>
      <c r="G74" s="9">
        <v>220</v>
      </c>
      <c r="H74" s="10"/>
      <c r="K74" s="51" t="b">
        <v>1</v>
      </c>
      <c r="L74" s="52"/>
      <c r="M74" s="53" t="b">
        <v>1</v>
      </c>
      <c r="N74" s="54"/>
      <c r="O74" s="11" t="b">
        <v>0</v>
      </c>
      <c r="P74" s="26" t="str">
        <f t="shared" ref="P74:P76" si="2">IF(L74="","",EDATE(L74,6))</f>
        <v/>
      </c>
    </row>
    <row r="75" spans="1:16" ht="33" x14ac:dyDescent="0.45">
      <c r="A75" s="48">
        <v>74</v>
      </c>
      <c r="B75" s="15" t="s">
        <v>86</v>
      </c>
      <c r="C75" s="7">
        <v>647516009</v>
      </c>
      <c r="D75" s="6" t="s">
        <v>188</v>
      </c>
      <c r="E75" s="6"/>
      <c r="F75" s="8" t="s">
        <v>190</v>
      </c>
      <c r="G75" s="9">
        <v>220</v>
      </c>
      <c r="H75" s="10" t="s">
        <v>191</v>
      </c>
      <c r="K75" s="51" t="b">
        <v>1</v>
      </c>
      <c r="L75" s="52"/>
      <c r="M75" s="53" t="b">
        <v>1</v>
      </c>
      <c r="N75" s="54"/>
      <c r="O75" s="11" t="b">
        <v>1</v>
      </c>
      <c r="P75" s="29" t="str">
        <f t="shared" si="2"/>
        <v/>
      </c>
    </row>
    <row r="76" spans="1:16" ht="16.899999999999999" thickBot="1" x14ac:dyDescent="0.5">
      <c r="A76" s="48">
        <v>75</v>
      </c>
      <c r="B76" s="20" t="s">
        <v>16</v>
      </c>
      <c r="C76" s="7">
        <v>647516009</v>
      </c>
      <c r="D76" s="6" t="s">
        <v>188</v>
      </c>
      <c r="E76" s="6"/>
      <c r="F76" s="8" t="s">
        <v>111</v>
      </c>
      <c r="G76" s="9">
        <v>220</v>
      </c>
      <c r="H76" s="10"/>
      <c r="K76" s="51" t="b">
        <v>1</v>
      </c>
      <c r="L76" s="52"/>
      <c r="M76" s="53" t="b">
        <v>1</v>
      </c>
      <c r="N76" s="54"/>
      <c r="O76" s="11" t="b">
        <v>1</v>
      </c>
      <c r="P76" s="26" t="str">
        <f t="shared" si="2"/>
        <v/>
      </c>
    </row>
    <row r="77" spans="1:16" ht="33.4" thickTop="1" x14ac:dyDescent="0.45">
      <c r="A77" s="48">
        <v>76</v>
      </c>
      <c r="B77" s="6" t="s">
        <v>92</v>
      </c>
      <c r="C77" s="7"/>
      <c r="D77" s="6" t="s">
        <v>155</v>
      </c>
      <c r="E77" s="6"/>
      <c r="F77" s="8" t="s">
        <v>192</v>
      </c>
      <c r="G77" s="9">
        <v>220</v>
      </c>
      <c r="H77" s="10" t="s">
        <v>193</v>
      </c>
      <c r="K77" s="51" t="b">
        <v>1</v>
      </c>
      <c r="L77" s="52"/>
      <c r="M77" s="53" t="b">
        <v>1</v>
      </c>
      <c r="N77" s="54"/>
      <c r="O77" s="11" t="b">
        <v>1</v>
      </c>
      <c r="P77" s="11" t="s">
        <v>194</v>
      </c>
    </row>
    <row r="78" spans="1:16" ht="16.5" x14ac:dyDescent="0.45">
      <c r="A78" s="48">
        <v>77</v>
      </c>
      <c r="B78" s="6" t="s">
        <v>16</v>
      </c>
      <c r="C78" s="7"/>
      <c r="D78" s="6" t="s">
        <v>195</v>
      </c>
      <c r="E78" s="6"/>
      <c r="F78" s="8" t="s">
        <v>196</v>
      </c>
      <c r="G78" s="9">
        <v>220</v>
      </c>
      <c r="H78" s="10"/>
      <c r="K78" s="51" t="b">
        <v>1</v>
      </c>
      <c r="L78" s="52"/>
      <c r="M78" s="53" t="b">
        <v>1</v>
      </c>
      <c r="N78" s="54"/>
      <c r="O78" s="11" t="b">
        <v>1</v>
      </c>
      <c r="P78" s="26" t="str">
        <f t="shared" ref="P78:P80" si="3">IF(L78="","",EDATE(L78,6))</f>
        <v/>
      </c>
    </row>
    <row r="79" spans="1:16" ht="16.5" x14ac:dyDescent="0.45">
      <c r="A79" s="48">
        <v>78</v>
      </c>
      <c r="B79" s="6" t="s">
        <v>16</v>
      </c>
      <c r="C79" s="7"/>
      <c r="D79" s="6" t="s">
        <v>195</v>
      </c>
      <c r="E79" s="6"/>
      <c r="F79" s="8" t="s">
        <v>197</v>
      </c>
      <c r="G79" s="9">
        <v>220</v>
      </c>
      <c r="H79" s="10"/>
      <c r="K79" s="51" t="b">
        <v>1</v>
      </c>
      <c r="L79" s="52"/>
      <c r="M79" s="53" t="b">
        <v>1</v>
      </c>
      <c r="N79" s="54"/>
      <c r="O79" s="11" t="b">
        <v>1</v>
      </c>
      <c r="P79" s="26" t="str">
        <f t="shared" si="3"/>
        <v/>
      </c>
    </row>
    <row r="80" spans="1:16" ht="33" x14ac:dyDescent="0.45">
      <c r="A80" s="48">
        <v>79</v>
      </c>
      <c r="B80" s="6" t="s">
        <v>100</v>
      </c>
      <c r="C80" s="7"/>
      <c r="D80" s="6" t="s">
        <v>198</v>
      </c>
      <c r="E80" s="6"/>
      <c r="F80" s="8" t="s">
        <v>199</v>
      </c>
      <c r="G80" s="9">
        <v>220</v>
      </c>
      <c r="H80" s="10"/>
      <c r="K80" s="51" t="b">
        <v>1</v>
      </c>
      <c r="L80" s="52"/>
      <c r="M80" s="53" t="b">
        <v>1</v>
      </c>
      <c r="N80" s="54"/>
      <c r="O80" s="11" t="b">
        <v>1</v>
      </c>
      <c r="P80" s="26" t="str">
        <f t="shared" si="3"/>
        <v/>
      </c>
    </row>
    <row r="81" spans="1:16" ht="16.5" x14ac:dyDescent="0.45">
      <c r="A81" s="48">
        <v>80</v>
      </c>
      <c r="B81" s="6" t="s">
        <v>103</v>
      </c>
      <c r="C81" s="7"/>
      <c r="D81" s="6" t="s">
        <v>200</v>
      </c>
      <c r="E81" s="6"/>
      <c r="F81" s="8" t="s">
        <v>201</v>
      </c>
      <c r="G81" s="9">
        <v>220</v>
      </c>
      <c r="H81" s="10"/>
      <c r="K81" s="51" t="b">
        <v>1</v>
      </c>
      <c r="L81" s="52"/>
      <c r="M81" s="53" t="b">
        <v>1</v>
      </c>
      <c r="N81" s="54"/>
      <c r="O81" s="11" t="b">
        <v>1</v>
      </c>
      <c r="P81" s="30">
        <v>45279</v>
      </c>
    </row>
    <row r="82" spans="1:16" ht="16.5" x14ac:dyDescent="0.45">
      <c r="A82" s="48">
        <v>81</v>
      </c>
      <c r="B82" s="6" t="s">
        <v>106</v>
      </c>
      <c r="C82" s="7"/>
      <c r="D82" s="6" t="s">
        <v>200</v>
      </c>
      <c r="E82" s="6"/>
      <c r="F82" s="8" t="s">
        <v>202</v>
      </c>
      <c r="G82" s="9">
        <v>220</v>
      </c>
      <c r="H82" s="10"/>
      <c r="K82" s="51" t="b">
        <v>1</v>
      </c>
      <c r="L82" s="52"/>
      <c r="M82" s="53" t="b">
        <v>1</v>
      </c>
      <c r="N82" s="54"/>
      <c r="O82" s="11" t="b">
        <v>1</v>
      </c>
      <c r="P82" s="26" t="str">
        <f t="shared" ref="P82:P93" si="4">IF(L82="","",EDATE(L82,6))</f>
        <v/>
      </c>
    </row>
    <row r="83" spans="1:16" ht="16.5" x14ac:dyDescent="0.45">
      <c r="A83" s="48">
        <v>82</v>
      </c>
      <c r="B83" s="6" t="s">
        <v>109</v>
      </c>
      <c r="C83" s="7"/>
      <c r="D83" s="6" t="s">
        <v>200</v>
      </c>
      <c r="E83" s="6"/>
      <c r="F83" s="8" t="s">
        <v>203</v>
      </c>
      <c r="G83" s="9">
        <v>220</v>
      </c>
      <c r="H83" s="10"/>
      <c r="K83" s="51" t="b">
        <v>1</v>
      </c>
      <c r="L83" s="52"/>
      <c r="M83" s="53" t="b">
        <v>1</v>
      </c>
      <c r="N83" s="54"/>
      <c r="O83" s="11" t="b">
        <v>1</v>
      </c>
      <c r="P83" s="26" t="str">
        <f t="shared" si="4"/>
        <v/>
      </c>
    </row>
    <row r="84" spans="1:16" ht="16.5" x14ac:dyDescent="0.45">
      <c r="A84" s="48">
        <v>83</v>
      </c>
      <c r="B84" s="6" t="s">
        <v>16</v>
      </c>
      <c r="C84" s="7"/>
      <c r="D84" s="6" t="s">
        <v>204</v>
      </c>
      <c r="E84" s="6"/>
      <c r="F84" s="8" t="s">
        <v>205</v>
      </c>
      <c r="G84" s="9">
        <v>220</v>
      </c>
      <c r="H84" s="10"/>
      <c r="K84" s="51" t="b">
        <v>1</v>
      </c>
      <c r="L84" s="52"/>
      <c r="M84" s="53" t="b">
        <v>1</v>
      </c>
      <c r="N84" s="54"/>
      <c r="O84" s="11" t="b">
        <v>1</v>
      </c>
      <c r="P84" s="26" t="str">
        <f t="shared" si="4"/>
        <v/>
      </c>
    </row>
    <row r="85" spans="1:16" ht="18.75" x14ac:dyDescent="0.45">
      <c r="A85" s="48">
        <v>84</v>
      </c>
      <c r="B85" s="6" t="s">
        <v>115</v>
      </c>
      <c r="C85" s="7">
        <v>943016207</v>
      </c>
      <c r="D85" s="6" t="s">
        <v>206</v>
      </c>
      <c r="E85" s="6"/>
      <c r="F85" s="8" t="s">
        <v>207</v>
      </c>
      <c r="G85" s="9">
        <v>220</v>
      </c>
      <c r="H85" s="10"/>
      <c r="K85" s="51" t="b">
        <v>1</v>
      </c>
      <c r="L85" s="55">
        <v>45283</v>
      </c>
      <c r="M85" s="53" t="b">
        <v>1</v>
      </c>
      <c r="N85" s="54"/>
      <c r="O85" s="11" t="b">
        <v>1</v>
      </c>
      <c r="P85" s="29">
        <f t="shared" si="4"/>
        <v>45466</v>
      </c>
    </row>
    <row r="86" spans="1:16" ht="16.5" x14ac:dyDescent="0.45">
      <c r="A86" s="48">
        <v>85</v>
      </c>
      <c r="B86" s="6" t="s">
        <v>16</v>
      </c>
      <c r="C86" s="7"/>
      <c r="D86" s="6" t="s">
        <v>208</v>
      </c>
      <c r="E86" s="6"/>
      <c r="F86" s="8" t="s">
        <v>209</v>
      </c>
      <c r="G86" s="9">
        <v>220</v>
      </c>
      <c r="H86" s="10"/>
      <c r="K86" s="51" t="b">
        <v>1</v>
      </c>
      <c r="L86" s="55">
        <v>45287</v>
      </c>
      <c r="M86" s="53" t="b">
        <v>1</v>
      </c>
      <c r="N86" s="54"/>
      <c r="O86" s="11" t="b">
        <v>0</v>
      </c>
      <c r="P86" s="26">
        <f t="shared" si="4"/>
        <v>45470</v>
      </c>
    </row>
    <row r="87" spans="1:16" ht="16.5" x14ac:dyDescent="0.45">
      <c r="A87" s="48">
        <v>86</v>
      </c>
      <c r="B87" s="6" t="s">
        <v>120</v>
      </c>
      <c r="C87" s="7">
        <v>638433353</v>
      </c>
      <c r="D87" s="6" t="s">
        <v>210</v>
      </c>
      <c r="E87" s="6"/>
      <c r="F87" s="8" t="s">
        <v>211</v>
      </c>
      <c r="G87" s="9">
        <v>220</v>
      </c>
      <c r="H87" s="10"/>
      <c r="K87" s="51" t="b">
        <v>1</v>
      </c>
      <c r="L87" s="55">
        <v>45289</v>
      </c>
      <c r="M87" s="53" t="b">
        <v>1</v>
      </c>
      <c r="N87" s="55">
        <v>45289</v>
      </c>
      <c r="O87" s="11" t="b">
        <v>1</v>
      </c>
      <c r="P87" s="26">
        <f t="shared" si="4"/>
        <v>45472</v>
      </c>
    </row>
    <row r="88" spans="1:16" ht="33" x14ac:dyDescent="0.45">
      <c r="A88" s="48">
        <v>87</v>
      </c>
      <c r="B88" s="6" t="s">
        <v>14</v>
      </c>
      <c r="C88" s="7"/>
      <c r="D88" s="6" t="s">
        <v>212</v>
      </c>
      <c r="E88" s="6"/>
      <c r="F88" s="8" t="s">
        <v>213</v>
      </c>
      <c r="G88" s="9">
        <v>220</v>
      </c>
      <c r="H88" s="10" t="s">
        <v>214</v>
      </c>
      <c r="K88" s="51" t="b">
        <v>1</v>
      </c>
      <c r="L88" s="63">
        <v>45294</v>
      </c>
      <c r="M88" s="53" t="b">
        <v>1</v>
      </c>
      <c r="N88" s="54"/>
      <c r="O88" s="11" t="b">
        <v>1</v>
      </c>
      <c r="P88" s="26">
        <f t="shared" si="4"/>
        <v>45476</v>
      </c>
    </row>
    <row r="89" spans="1:16" ht="33" x14ac:dyDescent="0.45">
      <c r="A89" s="48">
        <v>88</v>
      </c>
      <c r="B89" s="6" t="s">
        <v>17</v>
      </c>
      <c r="C89" s="7"/>
      <c r="D89" s="6" t="s">
        <v>215</v>
      </c>
      <c r="E89" s="6"/>
      <c r="F89" s="8" t="s">
        <v>216</v>
      </c>
      <c r="G89" s="9">
        <v>220</v>
      </c>
      <c r="H89" s="10"/>
      <c r="K89" s="51" t="b">
        <v>1</v>
      </c>
      <c r="L89" s="63">
        <v>45295</v>
      </c>
      <c r="M89" s="53" t="b">
        <v>1</v>
      </c>
      <c r="N89" s="54"/>
      <c r="O89" s="11" t="b">
        <v>1</v>
      </c>
      <c r="P89" s="29">
        <f t="shared" si="4"/>
        <v>45477</v>
      </c>
    </row>
    <row r="90" spans="1:16" ht="18.75" x14ac:dyDescent="0.45">
      <c r="A90" s="48">
        <v>89</v>
      </c>
      <c r="B90" s="6" t="s">
        <v>18</v>
      </c>
      <c r="C90" s="7"/>
      <c r="D90" s="6" t="s">
        <v>217</v>
      </c>
      <c r="E90" s="6"/>
      <c r="F90" s="8" t="s">
        <v>218</v>
      </c>
      <c r="G90" s="9">
        <v>220</v>
      </c>
      <c r="H90" s="10"/>
      <c r="K90" s="51" t="b">
        <v>1</v>
      </c>
      <c r="L90" s="63">
        <v>45296</v>
      </c>
      <c r="M90" s="53" t="b">
        <v>1</v>
      </c>
      <c r="N90" s="54"/>
      <c r="O90" s="11" t="b">
        <v>1</v>
      </c>
      <c r="P90" s="29">
        <f t="shared" si="4"/>
        <v>45478</v>
      </c>
    </row>
    <row r="91" spans="1:16" ht="16.5" x14ac:dyDescent="0.45">
      <c r="A91" s="48">
        <v>90</v>
      </c>
      <c r="B91" s="6" t="s">
        <v>20</v>
      </c>
      <c r="C91" s="7"/>
      <c r="D91" s="6" t="s">
        <v>219</v>
      </c>
      <c r="E91" s="6"/>
      <c r="F91" s="8" t="s">
        <v>220</v>
      </c>
      <c r="G91" s="9">
        <v>220</v>
      </c>
      <c r="H91" s="10"/>
      <c r="K91" s="51" t="b">
        <v>1</v>
      </c>
      <c r="L91" s="52"/>
      <c r="M91" s="53" t="b">
        <v>1</v>
      </c>
      <c r="N91" s="54"/>
      <c r="O91" s="11" t="b">
        <v>1</v>
      </c>
      <c r="P91" s="26" t="str">
        <f t="shared" si="4"/>
        <v/>
      </c>
    </row>
    <row r="92" spans="1:16" ht="49.5" x14ac:dyDescent="0.45">
      <c r="A92" s="48">
        <v>91</v>
      </c>
      <c r="B92" s="6" t="s">
        <v>22</v>
      </c>
      <c r="C92" s="7"/>
      <c r="D92" s="6"/>
      <c r="E92" s="6"/>
      <c r="F92" s="8" t="s">
        <v>221</v>
      </c>
      <c r="G92" s="9">
        <v>220</v>
      </c>
      <c r="H92" s="10" t="s">
        <v>222</v>
      </c>
      <c r="K92" s="51" t="b">
        <v>1</v>
      </c>
      <c r="L92" s="65">
        <v>45304</v>
      </c>
      <c r="M92" s="53" t="b">
        <v>1</v>
      </c>
      <c r="N92" s="65">
        <v>45304</v>
      </c>
      <c r="O92" s="11" t="b">
        <v>0</v>
      </c>
      <c r="P92" s="26">
        <f t="shared" si="4"/>
        <v>45486</v>
      </c>
    </row>
    <row r="93" spans="1:16" ht="49.5" x14ac:dyDescent="0.45">
      <c r="A93" s="48">
        <v>92</v>
      </c>
      <c r="B93" s="6" t="s">
        <v>24</v>
      </c>
      <c r="C93" s="7"/>
      <c r="D93" s="6"/>
      <c r="E93" s="6"/>
      <c r="F93" s="8" t="s">
        <v>223</v>
      </c>
      <c r="G93" s="9">
        <v>220</v>
      </c>
      <c r="H93" s="10" t="s">
        <v>222</v>
      </c>
      <c r="K93" s="51" t="b">
        <v>1</v>
      </c>
      <c r="L93" s="65">
        <v>45304</v>
      </c>
      <c r="M93" s="53" t="b">
        <v>1</v>
      </c>
      <c r="N93" s="65">
        <v>45304</v>
      </c>
      <c r="O93" s="11" t="b">
        <v>0</v>
      </c>
      <c r="P93" s="26">
        <f t="shared" si="4"/>
        <v>45486</v>
      </c>
    </row>
    <row r="94" spans="1:16" ht="33" x14ac:dyDescent="0.45">
      <c r="A94" s="48">
        <v>93</v>
      </c>
      <c r="B94" s="6" t="s">
        <v>26</v>
      </c>
      <c r="C94" s="7"/>
      <c r="D94" s="6"/>
      <c r="E94" s="6"/>
      <c r="F94" s="8" t="s">
        <v>224</v>
      </c>
      <c r="G94" s="9">
        <v>300</v>
      </c>
      <c r="H94" s="10" t="s">
        <v>225</v>
      </c>
      <c r="K94" s="51" t="b">
        <v>0</v>
      </c>
      <c r="L94" s="65">
        <v>45324</v>
      </c>
      <c r="M94" s="53" t="b">
        <v>0</v>
      </c>
      <c r="N94" s="54"/>
      <c r="O94" s="11" t="b">
        <v>1</v>
      </c>
      <c r="P94" s="11"/>
    </row>
    <row r="95" spans="1:16" ht="66" x14ac:dyDescent="0.45">
      <c r="A95" s="48">
        <v>94</v>
      </c>
      <c r="B95" s="6" t="s">
        <v>27</v>
      </c>
      <c r="C95" s="7">
        <v>636620319</v>
      </c>
      <c r="D95" s="6" t="s">
        <v>226</v>
      </c>
      <c r="E95" s="6"/>
      <c r="F95" s="8" t="s">
        <v>227</v>
      </c>
      <c r="G95" s="9">
        <v>220</v>
      </c>
      <c r="H95" s="10"/>
      <c r="K95" s="51" t="b">
        <v>1</v>
      </c>
      <c r="L95" s="55">
        <v>45332</v>
      </c>
      <c r="M95" s="53" t="b">
        <v>1</v>
      </c>
      <c r="N95" s="55">
        <v>45332</v>
      </c>
      <c r="O95" s="11" t="b">
        <v>1</v>
      </c>
      <c r="P95" s="26">
        <f t="shared" ref="P95:P97" si="5">IF(L95="","",EDATE(L95,6))</f>
        <v>45514</v>
      </c>
    </row>
    <row r="96" spans="1:16" ht="33" x14ac:dyDescent="0.45">
      <c r="A96" s="48">
        <v>95</v>
      </c>
      <c r="B96" s="6" t="s">
        <v>28</v>
      </c>
      <c r="C96" s="7">
        <v>671884363</v>
      </c>
      <c r="D96" s="6" t="s">
        <v>228</v>
      </c>
      <c r="E96" s="6"/>
      <c r="F96" s="8" t="s">
        <v>229</v>
      </c>
      <c r="G96" s="9">
        <v>220</v>
      </c>
      <c r="H96" s="10"/>
      <c r="K96" s="51" t="b">
        <v>1</v>
      </c>
      <c r="L96" s="55">
        <v>45339</v>
      </c>
      <c r="M96" s="53" t="b">
        <v>1</v>
      </c>
      <c r="N96" s="55">
        <v>45339</v>
      </c>
      <c r="O96" s="11" t="b">
        <v>1</v>
      </c>
      <c r="P96" s="26">
        <f t="shared" si="5"/>
        <v>45521</v>
      </c>
    </row>
    <row r="97" spans="1:16" ht="33" x14ac:dyDescent="0.45">
      <c r="A97" s="48">
        <v>96</v>
      </c>
      <c r="B97" s="6" t="s">
        <v>28</v>
      </c>
      <c r="C97" s="7">
        <v>634441114</v>
      </c>
      <c r="D97" s="6" t="s">
        <v>230</v>
      </c>
      <c r="E97" s="6"/>
      <c r="F97" s="8" t="s">
        <v>231</v>
      </c>
      <c r="G97" s="9">
        <v>220</v>
      </c>
      <c r="H97" s="10" t="s">
        <v>232</v>
      </c>
      <c r="K97" s="51" t="b">
        <v>1</v>
      </c>
      <c r="L97" s="63">
        <v>45350</v>
      </c>
      <c r="M97" s="53" t="b">
        <v>1</v>
      </c>
      <c r="N97" s="54"/>
      <c r="O97" s="11" t="b">
        <v>1</v>
      </c>
      <c r="P97" s="26">
        <f t="shared" si="5"/>
        <v>45532</v>
      </c>
    </row>
    <row r="98" spans="1:16" ht="66" x14ac:dyDescent="0.45">
      <c r="A98" s="48">
        <v>97</v>
      </c>
      <c r="B98" s="6" t="s">
        <v>32</v>
      </c>
      <c r="C98" s="7">
        <v>694463477</v>
      </c>
      <c r="D98" s="6" t="s">
        <v>233</v>
      </c>
      <c r="E98" s="6"/>
      <c r="F98" s="8" t="s">
        <v>234</v>
      </c>
      <c r="G98" s="9">
        <v>220</v>
      </c>
      <c r="H98" s="10" t="s">
        <v>235</v>
      </c>
      <c r="K98" s="51" t="b">
        <v>1</v>
      </c>
      <c r="L98" s="63">
        <v>45353</v>
      </c>
      <c r="M98" s="53" t="b">
        <v>1</v>
      </c>
      <c r="N98" s="63">
        <v>45353</v>
      </c>
      <c r="O98" s="11" t="b">
        <v>1</v>
      </c>
      <c r="P98" s="11"/>
    </row>
    <row r="99" spans="1:16" ht="33" x14ac:dyDescent="0.45">
      <c r="A99" s="49">
        <v>98</v>
      </c>
      <c r="B99" s="6" t="s">
        <v>34</v>
      </c>
      <c r="C99" s="31">
        <v>669346914</v>
      </c>
      <c r="D99" s="32" t="s">
        <v>236</v>
      </c>
      <c r="E99" s="32"/>
      <c r="F99" s="33" t="s">
        <v>237</v>
      </c>
      <c r="G99" s="34">
        <v>220</v>
      </c>
      <c r="H99" s="35"/>
      <c r="K99" s="66" t="b">
        <v>1</v>
      </c>
      <c r="L99" s="67">
        <v>45355</v>
      </c>
      <c r="M99" s="68" t="b">
        <v>1</v>
      </c>
      <c r="N99" s="67">
        <v>45355</v>
      </c>
      <c r="O99" s="36" t="b">
        <v>1</v>
      </c>
      <c r="P99" s="37">
        <v>45539</v>
      </c>
    </row>
    <row r="100" spans="1:16" ht="16.5" x14ac:dyDescent="0.45">
      <c r="A100" s="48">
        <v>99</v>
      </c>
      <c r="B100" s="6" t="s">
        <v>36</v>
      </c>
      <c r="C100" s="7"/>
      <c r="D100" s="6" t="s">
        <v>238</v>
      </c>
      <c r="E100" s="6"/>
      <c r="F100" s="8" t="s">
        <v>239</v>
      </c>
      <c r="G100" s="9">
        <v>220</v>
      </c>
      <c r="H100" s="10" t="s">
        <v>240</v>
      </c>
      <c r="K100" s="51" t="b">
        <v>0</v>
      </c>
      <c r="L100" s="52"/>
      <c r="M100" s="53" t="b">
        <v>1</v>
      </c>
      <c r="N100" s="58">
        <v>45357</v>
      </c>
      <c r="O100" s="11" t="b">
        <v>1</v>
      </c>
      <c r="P100" s="11"/>
    </row>
    <row r="101" spans="1:16" ht="16.5" x14ac:dyDescent="0.45">
      <c r="A101" s="48">
        <v>100</v>
      </c>
      <c r="B101" s="6" t="s">
        <v>16</v>
      </c>
      <c r="C101" s="7"/>
      <c r="D101" s="6" t="s">
        <v>238</v>
      </c>
      <c r="E101" s="6"/>
      <c r="F101" s="8" t="s">
        <v>241</v>
      </c>
      <c r="G101" s="9">
        <v>220</v>
      </c>
      <c r="H101" s="10" t="s">
        <v>240</v>
      </c>
      <c r="K101" s="51" t="b">
        <v>0</v>
      </c>
      <c r="L101" s="52"/>
      <c r="M101" s="53" t="b">
        <v>1</v>
      </c>
      <c r="N101" s="54"/>
      <c r="O101" s="11" t="b">
        <v>1</v>
      </c>
      <c r="P101" s="11"/>
    </row>
    <row r="102" spans="1:16" ht="33" x14ac:dyDescent="0.45">
      <c r="A102" s="48">
        <v>101</v>
      </c>
      <c r="B102" s="6" t="s">
        <v>41</v>
      </c>
      <c r="C102" s="7"/>
      <c r="D102" s="6" t="s">
        <v>242</v>
      </c>
      <c r="E102" s="6"/>
      <c r="F102" s="8" t="s">
        <v>243</v>
      </c>
      <c r="G102" s="9">
        <v>220</v>
      </c>
      <c r="H102" s="10" t="s">
        <v>244</v>
      </c>
      <c r="K102" s="51" t="b">
        <v>1</v>
      </c>
      <c r="L102" s="52"/>
      <c r="M102" s="53" t="b">
        <v>0</v>
      </c>
      <c r="N102" s="54"/>
      <c r="O102" s="11" t="b">
        <v>0</v>
      </c>
      <c r="P102" s="11"/>
    </row>
    <row r="103" spans="1:16" ht="33" x14ac:dyDescent="0.45">
      <c r="A103" s="48">
        <v>102</v>
      </c>
      <c r="B103" s="6" t="s">
        <v>44</v>
      </c>
      <c r="C103" s="7"/>
      <c r="D103" s="6"/>
      <c r="E103" s="6"/>
      <c r="F103" s="8"/>
      <c r="G103" s="9"/>
      <c r="H103" s="10"/>
      <c r="K103" s="51" t="b">
        <v>0</v>
      </c>
      <c r="L103" s="52"/>
      <c r="M103" s="53" t="b">
        <v>0</v>
      </c>
      <c r="N103" s="54"/>
      <c r="O103" s="11" t="b">
        <v>0</v>
      </c>
      <c r="P103" s="11"/>
    </row>
    <row r="104" spans="1:16" ht="33" x14ac:dyDescent="0.45">
      <c r="A104" s="48">
        <v>103</v>
      </c>
      <c r="B104" s="6" t="s">
        <v>47</v>
      </c>
      <c r="C104" s="7"/>
      <c r="D104" s="6" t="s">
        <v>245</v>
      </c>
      <c r="E104" s="6"/>
      <c r="F104" s="8" t="s">
        <v>246</v>
      </c>
      <c r="G104" s="9">
        <v>220</v>
      </c>
      <c r="H104" s="10" t="s">
        <v>247</v>
      </c>
      <c r="K104" s="51" t="b">
        <v>1</v>
      </c>
      <c r="L104" s="52"/>
      <c r="M104" s="53" t="b">
        <v>0</v>
      </c>
      <c r="N104" s="54"/>
      <c r="O104" s="11" t="b">
        <v>1</v>
      </c>
      <c r="P104" s="11"/>
    </row>
    <row r="105" spans="1:16" ht="16.5" x14ac:dyDescent="0.45">
      <c r="A105" s="48">
        <v>104</v>
      </c>
      <c r="B105" s="6" t="s">
        <v>49</v>
      </c>
      <c r="C105" s="7">
        <v>687756018</v>
      </c>
      <c r="D105" s="6"/>
      <c r="E105" s="6"/>
      <c r="F105" s="8" t="s">
        <v>248</v>
      </c>
      <c r="G105" s="9">
        <v>220</v>
      </c>
      <c r="H105" s="10"/>
      <c r="K105" s="51" t="b">
        <v>1</v>
      </c>
      <c r="L105" s="65">
        <v>45373</v>
      </c>
      <c r="M105" s="53" t="b">
        <v>1</v>
      </c>
      <c r="N105" s="54"/>
      <c r="O105" s="11" t="b">
        <v>1</v>
      </c>
      <c r="P105" s="11"/>
    </row>
    <row r="106" spans="1:16" ht="16.5" x14ac:dyDescent="0.45">
      <c r="A106" s="48">
        <v>105</v>
      </c>
      <c r="B106" s="6" t="s">
        <v>16</v>
      </c>
      <c r="C106" s="7">
        <v>616656772</v>
      </c>
      <c r="D106" s="6" t="s">
        <v>249</v>
      </c>
      <c r="E106" s="6"/>
      <c r="F106" s="8" t="s">
        <v>250</v>
      </c>
      <c r="G106" s="9">
        <v>220</v>
      </c>
      <c r="H106" s="10"/>
      <c r="K106" s="51" t="b">
        <v>1</v>
      </c>
      <c r="L106" s="63">
        <v>45374</v>
      </c>
      <c r="M106" s="53" t="b">
        <v>1</v>
      </c>
      <c r="N106" s="63">
        <v>45374</v>
      </c>
      <c r="O106" s="11" t="b">
        <v>1</v>
      </c>
      <c r="P106" s="11"/>
    </row>
    <row r="107" spans="1:16" ht="16.5" x14ac:dyDescent="0.45">
      <c r="A107" s="48">
        <v>106</v>
      </c>
      <c r="B107" s="6" t="s">
        <v>16</v>
      </c>
      <c r="C107" s="7">
        <v>688636868</v>
      </c>
      <c r="D107" s="6" t="s">
        <v>251</v>
      </c>
      <c r="E107" s="6"/>
      <c r="F107" s="8" t="s">
        <v>252</v>
      </c>
      <c r="G107" s="9">
        <v>220</v>
      </c>
      <c r="H107" s="10"/>
      <c r="K107" s="51" t="b">
        <v>1</v>
      </c>
      <c r="L107" s="63">
        <v>45381</v>
      </c>
      <c r="M107" s="53" t="b">
        <v>1</v>
      </c>
      <c r="N107" s="63">
        <v>45381</v>
      </c>
      <c r="O107" s="11" t="b">
        <v>1</v>
      </c>
      <c r="P107" s="26">
        <f t="shared" ref="P107:P108" si="6">IF(L107="","",EDATE(L107,6))</f>
        <v>45565</v>
      </c>
    </row>
    <row r="108" spans="1:16" ht="16.5" x14ac:dyDescent="0.45">
      <c r="A108" s="48">
        <v>107</v>
      </c>
      <c r="B108" s="6" t="s">
        <v>16</v>
      </c>
      <c r="C108" s="7">
        <v>623049280</v>
      </c>
      <c r="D108" s="6" t="s">
        <v>253</v>
      </c>
      <c r="E108" s="6"/>
      <c r="F108" s="8" t="s">
        <v>254</v>
      </c>
      <c r="G108" s="9">
        <v>330</v>
      </c>
      <c r="H108" s="10" t="s">
        <v>255</v>
      </c>
      <c r="K108" s="51" t="b">
        <v>1</v>
      </c>
      <c r="L108" s="63">
        <v>45382</v>
      </c>
      <c r="M108" s="53" t="b">
        <v>1</v>
      </c>
      <c r="N108" s="63">
        <v>45382</v>
      </c>
      <c r="O108" s="11" t="b">
        <v>1</v>
      </c>
      <c r="P108" s="26">
        <f t="shared" si="6"/>
        <v>45565</v>
      </c>
    </row>
    <row r="109" spans="1:16" ht="16.5" x14ac:dyDescent="0.45">
      <c r="A109" s="48">
        <v>108</v>
      </c>
      <c r="B109" s="6" t="s">
        <v>58</v>
      </c>
      <c r="C109" s="7"/>
      <c r="D109" s="6"/>
      <c r="E109" s="6"/>
      <c r="F109" s="8" t="s">
        <v>256</v>
      </c>
      <c r="G109" s="9">
        <v>220</v>
      </c>
      <c r="H109" s="10"/>
      <c r="K109" s="51" t="b">
        <v>1</v>
      </c>
      <c r="L109" s="63">
        <v>45402</v>
      </c>
      <c r="M109" s="53" t="b">
        <v>1</v>
      </c>
      <c r="N109" s="63">
        <v>45402</v>
      </c>
      <c r="O109" s="11" t="b">
        <v>0</v>
      </c>
      <c r="P109" s="11"/>
    </row>
    <row r="110" spans="1:16" ht="16.5" x14ac:dyDescent="0.45">
      <c r="A110" s="48">
        <v>109</v>
      </c>
      <c r="B110" s="6" t="s">
        <v>61</v>
      </c>
      <c r="C110" s="7">
        <v>629288688</v>
      </c>
      <c r="D110" s="6"/>
      <c r="E110" s="6"/>
      <c r="F110" s="8" t="s">
        <v>257</v>
      </c>
      <c r="G110" s="9">
        <v>220</v>
      </c>
      <c r="H110" s="10"/>
      <c r="K110" s="51" t="b">
        <v>1</v>
      </c>
      <c r="L110" s="52"/>
      <c r="M110" s="53" t="b">
        <v>1</v>
      </c>
      <c r="N110" s="54"/>
      <c r="O110" s="11" t="b">
        <v>1</v>
      </c>
      <c r="P110" s="11"/>
    </row>
    <row r="111" spans="1:16" ht="16.5" x14ac:dyDescent="0.45">
      <c r="A111" s="48">
        <v>110</v>
      </c>
      <c r="B111" s="6" t="s">
        <v>64</v>
      </c>
      <c r="C111" s="7">
        <v>618557849</v>
      </c>
      <c r="D111" s="6"/>
      <c r="E111" s="6"/>
      <c r="F111" s="8" t="s">
        <v>258</v>
      </c>
      <c r="G111" s="9">
        <v>220</v>
      </c>
      <c r="H111" s="10"/>
      <c r="K111" s="51" t="b">
        <v>1</v>
      </c>
      <c r="L111" s="52"/>
      <c r="M111" s="53" t="b">
        <v>1</v>
      </c>
      <c r="N111" s="54"/>
      <c r="O111" s="11" t="b">
        <v>1</v>
      </c>
      <c r="P111" s="11"/>
    </row>
    <row r="112" spans="1:16" ht="49.5" x14ac:dyDescent="0.45">
      <c r="A112" s="48">
        <v>111</v>
      </c>
      <c r="B112" s="6" t="s">
        <v>68</v>
      </c>
      <c r="C112" s="7">
        <v>658727556</v>
      </c>
      <c r="D112" s="6" t="s">
        <v>259</v>
      </c>
      <c r="E112" s="6"/>
      <c r="F112" s="8" t="s">
        <v>260</v>
      </c>
      <c r="G112" s="9">
        <v>220</v>
      </c>
      <c r="H112" s="10"/>
      <c r="K112" s="51" t="b">
        <v>1</v>
      </c>
      <c r="L112" s="63">
        <v>45429</v>
      </c>
      <c r="M112" s="53" t="b">
        <v>1</v>
      </c>
      <c r="N112" s="54"/>
      <c r="O112" s="11" t="b">
        <v>1</v>
      </c>
      <c r="P112" s="11"/>
    </row>
    <row r="113" spans="1:16" ht="16.5" x14ac:dyDescent="0.45">
      <c r="A113" s="48">
        <v>112</v>
      </c>
      <c r="B113" s="6" t="s">
        <v>16</v>
      </c>
      <c r="C113" s="7">
        <v>656760846</v>
      </c>
      <c r="D113" s="6"/>
      <c r="E113" s="6"/>
      <c r="F113" s="8" t="s">
        <v>261</v>
      </c>
      <c r="G113" s="9">
        <v>220</v>
      </c>
      <c r="H113" s="10"/>
      <c r="K113" s="51" t="b">
        <v>1</v>
      </c>
      <c r="L113" s="52"/>
      <c r="M113" s="53" t="b">
        <v>1</v>
      </c>
      <c r="N113" s="54"/>
      <c r="O113" s="11" t="b">
        <v>1</v>
      </c>
      <c r="P113" s="11"/>
    </row>
    <row r="114" spans="1:16" ht="49.5" x14ac:dyDescent="0.45">
      <c r="A114" s="48">
        <v>113</v>
      </c>
      <c r="B114" s="6" t="s">
        <v>16</v>
      </c>
      <c r="C114" s="7">
        <v>634416395</v>
      </c>
      <c r="D114" s="6"/>
      <c r="E114" s="6"/>
      <c r="F114" s="8" t="s">
        <v>262</v>
      </c>
      <c r="G114" s="9" t="s">
        <v>263</v>
      </c>
      <c r="H114" s="10" t="s">
        <v>264</v>
      </c>
      <c r="K114" s="51" t="b">
        <v>1</v>
      </c>
      <c r="L114" s="65">
        <v>45443</v>
      </c>
      <c r="M114" s="53" t="b">
        <v>0</v>
      </c>
      <c r="N114" s="54"/>
      <c r="O114" s="11" t="b">
        <v>1</v>
      </c>
      <c r="P114" s="11"/>
    </row>
    <row r="115" spans="1:16" ht="33" x14ac:dyDescent="0.45">
      <c r="A115" s="48">
        <v>114</v>
      </c>
      <c r="B115" s="6" t="s">
        <v>16</v>
      </c>
      <c r="C115" s="7">
        <v>685700177</v>
      </c>
      <c r="D115" s="6" t="s">
        <v>265</v>
      </c>
      <c r="E115" s="6"/>
      <c r="F115" s="8" t="s">
        <v>266</v>
      </c>
      <c r="G115" s="9">
        <v>220</v>
      </c>
      <c r="H115" s="10"/>
      <c r="K115" s="51" t="b">
        <v>1</v>
      </c>
      <c r="L115" s="63">
        <v>45444</v>
      </c>
      <c r="M115" s="53" t="b">
        <v>1</v>
      </c>
      <c r="N115" s="63">
        <v>45444</v>
      </c>
      <c r="O115" s="11" t="b">
        <v>1</v>
      </c>
      <c r="P115" s="26">
        <f>IF(L115="","",EDATE(L115,6))</f>
        <v>45627</v>
      </c>
    </row>
    <row r="116" spans="1:16" ht="16.5" x14ac:dyDescent="0.45">
      <c r="A116" s="48">
        <v>115</v>
      </c>
      <c r="B116" s="6" t="s">
        <v>79</v>
      </c>
      <c r="C116" s="7">
        <v>686220197</v>
      </c>
      <c r="D116" s="6" t="s">
        <v>267</v>
      </c>
      <c r="E116" s="6"/>
      <c r="F116" s="8" t="s">
        <v>268</v>
      </c>
      <c r="G116" s="9">
        <v>220</v>
      </c>
      <c r="H116" s="10"/>
      <c r="K116" s="51" t="b">
        <v>1</v>
      </c>
      <c r="L116" s="52"/>
      <c r="M116" s="53" t="b">
        <v>1</v>
      </c>
      <c r="N116" s="63">
        <v>45448</v>
      </c>
      <c r="O116" s="11" t="b">
        <v>0</v>
      </c>
      <c r="P116" s="37">
        <v>45631</v>
      </c>
    </row>
    <row r="117" spans="1:16" ht="49.5" x14ac:dyDescent="0.45">
      <c r="A117" s="48">
        <v>116</v>
      </c>
      <c r="B117" s="6" t="s">
        <v>82</v>
      </c>
      <c r="C117" s="7">
        <v>633469624</v>
      </c>
      <c r="D117" s="6" t="s">
        <v>269</v>
      </c>
      <c r="E117" s="6"/>
      <c r="F117" s="8" t="s">
        <v>270</v>
      </c>
      <c r="G117" s="9">
        <v>220</v>
      </c>
      <c r="H117" s="10" t="s">
        <v>271</v>
      </c>
      <c r="K117" s="51" t="b">
        <v>1</v>
      </c>
      <c r="L117" s="52"/>
      <c r="M117" s="53" t="b">
        <v>1</v>
      </c>
      <c r="N117" s="63">
        <v>45468</v>
      </c>
      <c r="O117" s="11" t="b">
        <v>1</v>
      </c>
      <c r="P117" s="38">
        <v>45651</v>
      </c>
    </row>
    <row r="118" spans="1:16" ht="16.5" x14ac:dyDescent="0.45">
      <c r="A118" s="48">
        <v>117</v>
      </c>
      <c r="B118" s="15" t="s">
        <v>86</v>
      </c>
      <c r="C118" s="7">
        <v>629552574</v>
      </c>
      <c r="D118" s="6" t="s">
        <v>272</v>
      </c>
      <c r="E118" s="6"/>
      <c r="F118" s="8" t="s">
        <v>273</v>
      </c>
      <c r="G118" s="9">
        <v>220</v>
      </c>
      <c r="H118" s="10"/>
      <c r="K118" s="51" t="b">
        <v>1</v>
      </c>
      <c r="L118" s="55">
        <v>45487</v>
      </c>
      <c r="M118" s="53" t="b">
        <v>1</v>
      </c>
      <c r="N118" s="55">
        <v>45487</v>
      </c>
      <c r="O118" s="11" t="b">
        <v>1</v>
      </c>
      <c r="P118" s="26">
        <f t="shared" ref="P118:P127" si="7">IF(L118="","",EDATE(L118,6))</f>
        <v>45671</v>
      </c>
    </row>
    <row r="119" spans="1:16" ht="16.899999999999999" thickBot="1" x14ac:dyDescent="0.5">
      <c r="A119" s="48">
        <v>118</v>
      </c>
      <c r="B119" s="20" t="s">
        <v>16</v>
      </c>
      <c r="C119" s="7">
        <v>688801029</v>
      </c>
      <c r="D119" s="6"/>
      <c r="E119" s="6"/>
      <c r="F119" s="8" t="s">
        <v>274</v>
      </c>
      <c r="G119" s="9">
        <v>220</v>
      </c>
      <c r="H119" s="10"/>
      <c r="K119" s="51" t="b">
        <v>1</v>
      </c>
      <c r="L119" s="63">
        <v>45489</v>
      </c>
      <c r="M119" s="53" t="b">
        <v>1</v>
      </c>
      <c r="N119" s="63">
        <v>45489</v>
      </c>
      <c r="O119" s="11" t="b">
        <v>1</v>
      </c>
      <c r="P119" s="26">
        <f t="shared" si="7"/>
        <v>45673</v>
      </c>
    </row>
    <row r="120" spans="1:16" ht="33.4" thickTop="1" x14ac:dyDescent="0.45">
      <c r="A120" s="48">
        <v>119</v>
      </c>
      <c r="B120" s="6" t="s">
        <v>92</v>
      </c>
      <c r="C120" s="7">
        <v>618401227</v>
      </c>
      <c r="D120" s="6" t="s">
        <v>275</v>
      </c>
      <c r="E120" s="6"/>
      <c r="F120" s="8" t="s">
        <v>276</v>
      </c>
      <c r="G120" s="9">
        <v>220</v>
      </c>
      <c r="H120" s="10"/>
      <c r="K120" s="51" t="b">
        <v>1</v>
      </c>
      <c r="L120" s="63">
        <v>45493</v>
      </c>
      <c r="M120" s="53" t="b">
        <v>1</v>
      </c>
      <c r="N120" s="63">
        <v>45493</v>
      </c>
      <c r="O120" s="11" t="b">
        <v>1</v>
      </c>
      <c r="P120" s="26">
        <f t="shared" si="7"/>
        <v>45677</v>
      </c>
    </row>
    <row r="121" spans="1:16" ht="16.5" x14ac:dyDescent="0.45">
      <c r="A121" s="48">
        <v>120</v>
      </c>
      <c r="B121" s="6" t="s">
        <v>16</v>
      </c>
      <c r="C121" s="7">
        <v>635706180</v>
      </c>
      <c r="D121" s="6" t="s">
        <v>277</v>
      </c>
      <c r="E121" s="6"/>
      <c r="F121" s="8" t="s">
        <v>278</v>
      </c>
      <c r="G121" s="9">
        <v>220</v>
      </c>
      <c r="H121" s="10"/>
      <c r="K121" s="51" t="b">
        <v>1</v>
      </c>
      <c r="L121" s="63">
        <v>45492</v>
      </c>
      <c r="M121" s="53" t="b">
        <v>1</v>
      </c>
      <c r="N121" s="63">
        <v>45492</v>
      </c>
      <c r="O121" s="11" t="b">
        <v>0</v>
      </c>
      <c r="P121" s="26">
        <f t="shared" si="7"/>
        <v>45676</v>
      </c>
    </row>
    <row r="122" spans="1:16" ht="16.5" x14ac:dyDescent="0.45">
      <c r="A122" s="48">
        <v>121</v>
      </c>
      <c r="B122" s="6" t="s">
        <v>16</v>
      </c>
      <c r="C122" s="7">
        <v>664029771</v>
      </c>
      <c r="D122" s="6" t="s">
        <v>279</v>
      </c>
      <c r="E122" s="6"/>
      <c r="F122" s="8" t="s">
        <v>280</v>
      </c>
      <c r="G122" s="9">
        <v>220</v>
      </c>
      <c r="H122" s="10"/>
      <c r="K122" s="51" t="b">
        <v>1</v>
      </c>
      <c r="L122" s="63">
        <v>45506</v>
      </c>
      <c r="M122" s="53" t="b">
        <v>1</v>
      </c>
      <c r="N122" s="63">
        <v>45506</v>
      </c>
      <c r="O122" s="11" t="b">
        <v>1</v>
      </c>
      <c r="P122" s="26">
        <f t="shared" si="7"/>
        <v>45690</v>
      </c>
    </row>
    <row r="123" spans="1:16" ht="33" x14ac:dyDescent="0.45">
      <c r="A123" s="48">
        <v>122</v>
      </c>
      <c r="B123" s="6" t="s">
        <v>100</v>
      </c>
      <c r="C123" s="7" t="s">
        <v>281</v>
      </c>
      <c r="D123" s="6"/>
      <c r="E123" s="6"/>
      <c r="F123" s="8" t="s">
        <v>282</v>
      </c>
      <c r="G123" s="9">
        <v>220</v>
      </c>
      <c r="H123" s="10"/>
      <c r="K123" s="51" t="b">
        <v>1</v>
      </c>
      <c r="L123" s="63">
        <v>45527</v>
      </c>
      <c r="M123" s="53" t="b">
        <v>0</v>
      </c>
      <c r="N123" s="54"/>
      <c r="O123" s="11" t="b">
        <v>1</v>
      </c>
      <c r="P123" s="26">
        <f t="shared" si="7"/>
        <v>45711</v>
      </c>
    </row>
    <row r="124" spans="1:16" ht="16.5" x14ac:dyDescent="0.45">
      <c r="A124" s="48">
        <v>123</v>
      </c>
      <c r="B124" s="6" t="s">
        <v>103</v>
      </c>
      <c r="C124" s="7">
        <v>647315642</v>
      </c>
      <c r="D124" s="6"/>
      <c r="E124" s="6"/>
      <c r="F124" s="8" t="s">
        <v>283</v>
      </c>
      <c r="G124" s="9">
        <v>220</v>
      </c>
      <c r="H124" s="10"/>
      <c r="K124" s="51" t="b">
        <v>1</v>
      </c>
      <c r="L124" s="63">
        <v>45545</v>
      </c>
      <c r="M124" s="53" t="b">
        <v>0</v>
      </c>
      <c r="N124" s="54"/>
      <c r="O124" s="11" t="b">
        <v>1</v>
      </c>
      <c r="P124" s="26">
        <f t="shared" si="7"/>
        <v>45726</v>
      </c>
    </row>
    <row r="125" spans="1:16" ht="33" x14ac:dyDescent="0.45">
      <c r="A125" s="48">
        <v>124</v>
      </c>
      <c r="B125" s="6" t="s">
        <v>106</v>
      </c>
      <c r="C125" s="7" t="s">
        <v>284</v>
      </c>
      <c r="D125" s="6" t="s">
        <v>285</v>
      </c>
      <c r="E125" s="6"/>
      <c r="F125" s="8" t="s">
        <v>286</v>
      </c>
      <c r="G125" s="9" t="s">
        <v>16</v>
      </c>
      <c r="H125" s="10"/>
      <c r="K125" s="51" t="b">
        <v>1</v>
      </c>
      <c r="L125" s="63">
        <v>45546</v>
      </c>
      <c r="M125" s="53" t="b">
        <v>0</v>
      </c>
      <c r="N125" s="63">
        <v>45546</v>
      </c>
      <c r="O125" s="11" t="b">
        <v>0</v>
      </c>
      <c r="P125" s="26">
        <f t="shared" si="7"/>
        <v>45727</v>
      </c>
    </row>
    <row r="126" spans="1:16" ht="16.5" x14ac:dyDescent="0.45">
      <c r="A126" s="48">
        <v>125</v>
      </c>
      <c r="B126" s="6" t="s">
        <v>109</v>
      </c>
      <c r="C126" s="7" t="s">
        <v>287</v>
      </c>
      <c r="D126" s="6"/>
      <c r="E126" s="6"/>
      <c r="F126" s="8" t="s">
        <v>288</v>
      </c>
      <c r="G126" s="9" t="s">
        <v>16</v>
      </c>
      <c r="H126" s="10" t="s">
        <v>289</v>
      </c>
      <c r="K126" s="51" t="b">
        <v>0</v>
      </c>
      <c r="L126" s="63">
        <v>45549</v>
      </c>
      <c r="M126" s="53" t="b">
        <v>0</v>
      </c>
      <c r="N126" s="54"/>
      <c r="O126" s="11" t="b">
        <v>0</v>
      </c>
      <c r="P126" s="26">
        <f t="shared" si="7"/>
        <v>45730</v>
      </c>
    </row>
    <row r="127" spans="1:16" ht="16.5" x14ac:dyDescent="0.45">
      <c r="A127" s="48">
        <v>126</v>
      </c>
      <c r="B127" s="6" t="s">
        <v>16</v>
      </c>
      <c r="C127" s="7">
        <v>647442525</v>
      </c>
      <c r="D127" s="6"/>
      <c r="E127" s="6"/>
      <c r="F127" s="8" t="s">
        <v>290</v>
      </c>
      <c r="G127" s="9" t="s">
        <v>16</v>
      </c>
      <c r="H127" s="10" t="s">
        <v>289</v>
      </c>
      <c r="K127" s="51" t="b">
        <v>0</v>
      </c>
      <c r="L127" s="63">
        <v>45553</v>
      </c>
      <c r="M127" s="53" t="b">
        <v>0</v>
      </c>
      <c r="N127" s="54"/>
      <c r="O127" s="11" t="b">
        <v>0</v>
      </c>
      <c r="P127" s="26">
        <f t="shared" si="7"/>
        <v>45734</v>
      </c>
    </row>
    <row r="128" spans="1:16" ht="18.75" x14ac:dyDescent="0.9">
      <c r="A128" s="48">
        <v>127</v>
      </c>
      <c r="B128" s="6" t="s">
        <v>115</v>
      </c>
      <c r="C128" s="39">
        <v>659410395</v>
      </c>
      <c r="D128" s="40"/>
      <c r="E128" s="40"/>
      <c r="F128" s="8" t="s">
        <v>291</v>
      </c>
      <c r="G128" s="9" t="s">
        <v>16</v>
      </c>
      <c r="H128" s="10"/>
      <c r="K128" s="51" t="b">
        <v>1</v>
      </c>
      <c r="L128" s="63">
        <v>45570</v>
      </c>
      <c r="M128" s="53" t="b">
        <v>0</v>
      </c>
      <c r="N128" s="63"/>
      <c r="O128" s="11" t="b">
        <v>1</v>
      </c>
      <c r="P128" s="26"/>
    </row>
    <row r="129" spans="1:16" ht="24.4" x14ac:dyDescent="1.1499999999999999">
      <c r="A129" s="48">
        <v>128</v>
      </c>
      <c r="B129" s="6" t="s">
        <v>16</v>
      </c>
      <c r="C129" s="7">
        <v>619024286</v>
      </c>
      <c r="D129" s="41"/>
      <c r="E129" s="41"/>
      <c r="F129" s="8" t="s">
        <v>292</v>
      </c>
      <c r="G129" s="9"/>
      <c r="H129" s="10"/>
      <c r="K129" s="51" t="b">
        <v>1</v>
      </c>
      <c r="L129" s="63">
        <v>45573</v>
      </c>
      <c r="M129" s="53" t="b">
        <v>0</v>
      </c>
      <c r="N129" s="54"/>
      <c r="O129" s="11" t="b">
        <v>1</v>
      </c>
      <c r="P129" s="26">
        <f t="shared" ref="P129:P175" si="8">IF(L129="","",EDATE(L129,6))</f>
        <v>45755</v>
      </c>
    </row>
    <row r="130" spans="1:16" ht="16.5" x14ac:dyDescent="0.45">
      <c r="A130" s="48">
        <v>129</v>
      </c>
      <c r="B130" s="6" t="s">
        <v>120</v>
      </c>
      <c r="C130" s="7">
        <v>652766483</v>
      </c>
      <c r="D130" s="6" t="s">
        <v>293</v>
      </c>
      <c r="E130" s="6"/>
      <c r="F130" s="8" t="s">
        <v>294</v>
      </c>
      <c r="G130" s="9"/>
      <c r="H130" s="10"/>
      <c r="K130" s="51" t="b">
        <v>1</v>
      </c>
      <c r="L130" s="63"/>
      <c r="M130" s="53" t="b">
        <v>1</v>
      </c>
      <c r="N130" s="54"/>
      <c r="O130" s="11" t="b">
        <v>1</v>
      </c>
      <c r="P130" s="26" t="str">
        <f t="shared" si="8"/>
        <v/>
      </c>
    </row>
    <row r="131" spans="1:16" ht="16.5" x14ac:dyDescent="0.45">
      <c r="A131" s="48">
        <v>130</v>
      </c>
      <c r="B131" s="6" t="s">
        <v>14</v>
      </c>
      <c r="C131" s="7">
        <v>635747730</v>
      </c>
      <c r="D131" s="6"/>
      <c r="E131" s="6"/>
      <c r="F131" s="8" t="s">
        <v>295</v>
      </c>
      <c r="G131" s="9"/>
      <c r="H131" s="10"/>
      <c r="K131" s="51" t="b">
        <v>1</v>
      </c>
      <c r="L131" s="52"/>
      <c r="M131" s="53" t="b">
        <v>1</v>
      </c>
      <c r="N131" s="54"/>
      <c r="O131" s="11" t="b">
        <v>1</v>
      </c>
      <c r="P131" s="26" t="str">
        <f t="shared" si="8"/>
        <v/>
      </c>
    </row>
    <row r="132" spans="1:16" ht="16.5" x14ac:dyDescent="0.45">
      <c r="A132" s="48">
        <v>131</v>
      </c>
      <c r="B132" s="6" t="s">
        <v>17</v>
      </c>
      <c r="C132" s="7">
        <v>635747730</v>
      </c>
      <c r="D132" s="6"/>
      <c r="E132" s="6"/>
      <c r="F132" s="8" t="s">
        <v>296</v>
      </c>
      <c r="G132" s="9"/>
      <c r="H132" s="10"/>
      <c r="K132" s="51" t="b">
        <v>1</v>
      </c>
      <c r="L132" s="52"/>
      <c r="M132" s="53" t="b">
        <v>1</v>
      </c>
      <c r="N132" s="54"/>
      <c r="O132" s="11" t="b">
        <v>1</v>
      </c>
      <c r="P132" s="26" t="str">
        <f t="shared" si="8"/>
        <v/>
      </c>
    </row>
    <row r="133" spans="1:16" ht="16.5" x14ac:dyDescent="0.45">
      <c r="A133" s="48">
        <v>132</v>
      </c>
      <c r="B133" s="6" t="s">
        <v>18</v>
      </c>
      <c r="C133" s="7"/>
      <c r="D133" s="6"/>
      <c r="E133" s="6"/>
      <c r="F133" s="8" t="s">
        <v>297</v>
      </c>
      <c r="G133" s="9"/>
      <c r="H133" s="10"/>
      <c r="K133" s="51" t="b">
        <v>1</v>
      </c>
      <c r="L133" s="52"/>
      <c r="M133" s="53" t="b">
        <v>0</v>
      </c>
      <c r="N133" s="54"/>
      <c r="O133" s="11" t="b">
        <v>1</v>
      </c>
      <c r="P133" s="26" t="str">
        <f t="shared" si="8"/>
        <v/>
      </c>
    </row>
    <row r="134" spans="1:16" ht="16.5" x14ac:dyDescent="0.45">
      <c r="A134" s="48">
        <v>133</v>
      </c>
      <c r="B134" s="6" t="s">
        <v>20</v>
      </c>
      <c r="C134" s="7" t="s">
        <v>298</v>
      </c>
      <c r="D134" s="6"/>
      <c r="E134" s="6"/>
      <c r="F134" s="8" t="s">
        <v>299</v>
      </c>
      <c r="G134" s="9"/>
      <c r="H134" s="10"/>
      <c r="K134" s="51" t="b">
        <v>1</v>
      </c>
      <c r="L134" s="63">
        <v>45601</v>
      </c>
      <c r="M134" s="53" t="b">
        <v>1</v>
      </c>
      <c r="N134" s="63">
        <f>L134</f>
        <v>45601</v>
      </c>
      <c r="O134" s="11" t="b">
        <v>1</v>
      </c>
      <c r="P134" s="26">
        <f t="shared" si="8"/>
        <v>45782</v>
      </c>
    </row>
    <row r="135" spans="1:16" ht="66" x14ac:dyDescent="0.45">
      <c r="A135" s="48">
        <v>134</v>
      </c>
      <c r="B135" s="6" t="s">
        <v>22</v>
      </c>
      <c r="C135" s="7">
        <v>635207676</v>
      </c>
      <c r="D135" s="6" t="s">
        <v>300</v>
      </c>
      <c r="E135" s="6"/>
      <c r="F135" s="8" t="s">
        <v>301</v>
      </c>
      <c r="G135" s="9"/>
      <c r="H135" s="10" t="s">
        <v>302</v>
      </c>
      <c r="K135" s="51" t="b">
        <v>1</v>
      </c>
      <c r="L135" s="69">
        <v>45617</v>
      </c>
      <c r="M135" s="53" t="b">
        <v>0</v>
      </c>
      <c r="N135" s="54"/>
      <c r="O135" s="11" t="b">
        <v>0</v>
      </c>
      <c r="P135" s="26">
        <f t="shared" si="8"/>
        <v>45798</v>
      </c>
    </row>
    <row r="136" spans="1:16" ht="16.5" x14ac:dyDescent="0.45">
      <c r="A136" s="48">
        <v>135</v>
      </c>
      <c r="B136" s="6" t="s">
        <v>24</v>
      </c>
      <c r="C136" s="7">
        <v>647415174</v>
      </c>
      <c r="D136" s="6" t="s">
        <v>303</v>
      </c>
      <c r="E136" s="6"/>
      <c r="F136" s="8" t="s">
        <v>304</v>
      </c>
      <c r="G136" s="9"/>
      <c r="H136" s="10"/>
      <c r="K136" s="51" t="b">
        <v>1</v>
      </c>
      <c r="L136" s="55">
        <v>45643</v>
      </c>
      <c r="M136" s="53" t="b">
        <v>1</v>
      </c>
      <c r="N136" s="55">
        <v>45643</v>
      </c>
      <c r="O136" s="11" t="b">
        <v>1</v>
      </c>
      <c r="P136" s="26">
        <f t="shared" si="8"/>
        <v>45825</v>
      </c>
    </row>
    <row r="137" spans="1:16" ht="33" x14ac:dyDescent="0.45">
      <c r="A137" s="48">
        <v>136</v>
      </c>
      <c r="B137" s="6" t="s">
        <v>26</v>
      </c>
      <c r="C137" s="7">
        <v>688800480</v>
      </c>
      <c r="D137" s="6"/>
      <c r="E137" s="6"/>
      <c r="F137" s="8" t="s">
        <v>305</v>
      </c>
      <c r="G137" s="9">
        <v>220</v>
      </c>
      <c r="H137" s="10"/>
      <c r="K137" s="51" t="b">
        <v>1</v>
      </c>
      <c r="L137" s="55">
        <v>45652</v>
      </c>
      <c r="M137" s="53" t="b">
        <v>1</v>
      </c>
      <c r="N137" s="55">
        <v>45652</v>
      </c>
      <c r="O137" s="11" t="b">
        <v>1</v>
      </c>
      <c r="P137" s="26">
        <f t="shared" si="8"/>
        <v>45834</v>
      </c>
    </row>
    <row r="138" spans="1:16" ht="66" x14ac:dyDescent="0.45">
      <c r="A138" s="48">
        <v>137</v>
      </c>
      <c r="B138" s="6" t="s">
        <v>27</v>
      </c>
      <c r="C138" s="7" t="s">
        <v>306</v>
      </c>
      <c r="D138" s="6"/>
      <c r="E138" s="6"/>
      <c r="F138" s="8" t="s">
        <v>307</v>
      </c>
      <c r="G138" s="9">
        <v>220</v>
      </c>
      <c r="H138" s="10"/>
      <c r="K138" s="51" t="b">
        <v>0</v>
      </c>
      <c r="L138" s="55">
        <v>45662</v>
      </c>
      <c r="M138" s="53" t="b">
        <v>0</v>
      </c>
      <c r="N138" s="55">
        <v>45662</v>
      </c>
      <c r="O138" s="11" t="b">
        <v>1</v>
      </c>
      <c r="P138" s="26">
        <f t="shared" si="8"/>
        <v>45843</v>
      </c>
    </row>
    <row r="139" spans="1:16" ht="33" x14ac:dyDescent="0.45">
      <c r="A139" s="48">
        <v>138</v>
      </c>
      <c r="B139" s="6" t="s">
        <v>28</v>
      </c>
      <c r="C139" s="7">
        <v>615086137</v>
      </c>
      <c r="D139" s="6"/>
      <c r="E139" s="6"/>
      <c r="F139" s="8" t="s">
        <v>308</v>
      </c>
      <c r="G139" s="9">
        <v>220</v>
      </c>
      <c r="H139" s="10"/>
      <c r="K139" s="51" t="b">
        <v>1</v>
      </c>
      <c r="L139" s="55">
        <v>45687</v>
      </c>
      <c r="M139" s="53" t="b">
        <v>1</v>
      </c>
      <c r="N139" s="54"/>
      <c r="O139" s="11" t="b">
        <v>0</v>
      </c>
      <c r="P139" s="26">
        <f t="shared" si="8"/>
        <v>45868</v>
      </c>
    </row>
    <row r="140" spans="1:16" ht="33" x14ac:dyDescent="0.45">
      <c r="A140" s="48">
        <v>139</v>
      </c>
      <c r="B140" s="6" t="s">
        <v>28</v>
      </c>
      <c r="C140" s="7">
        <v>621275134</v>
      </c>
      <c r="D140" s="6"/>
      <c r="E140" s="6"/>
      <c r="F140" s="8" t="s">
        <v>309</v>
      </c>
      <c r="G140" s="9">
        <v>220</v>
      </c>
      <c r="H140" s="10"/>
      <c r="K140" s="51" t="b">
        <v>1</v>
      </c>
      <c r="L140" s="69">
        <v>45689</v>
      </c>
      <c r="M140" s="53" t="b">
        <v>1</v>
      </c>
      <c r="N140" s="69">
        <v>45688</v>
      </c>
      <c r="O140" s="11" t="b">
        <v>1</v>
      </c>
      <c r="P140" s="26">
        <f t="shared" si="8"/>
        <v>45870</v>
      </c>
    </row>
    <row r="141" spans="1:16" ht="16.5" x14ac:dyDescent="0.45">
      <c r="A141" s="48">
        <v>140</v>
      </c>
      <c r="B141" s="6" t="s">
        <v>32</v>
      </c>
      <c r="C141" s="7"/>
      <c r="D141" s="6"/>
      <c r="E141" s="6"/>
      <c r="F141" s="8" t="s">
        <v>310</v>
      </c>
      <c r="G141" s="9">
        <v>220</v>
      </c>
      <c r="H141" s="10"/>
      <c r="K141" s="51" t="b">
        <v>1</v>
      </c>
      <c r="L141" s="55">
        <v>45689</v>
      </c>
      <c r="M141" s="53" t="b">
        <v>0</v>
      </c>
      <c r="N141" s="54" t="s">
        <v>311</v>
      </c>
      <c r="O141" s="11" t="b">
        <v>1</v>
      </c>
      <c r="P141" s="26">
        <f t="shared" si="8"/>
        <v>45870</v>
      </c>
    </row>
    <row r="142" spans="1:16" ht="33" x14ac:dyDescent="0.45">
      <c r="A142" s="48">
        <v>141</v>
      </c>
      <c r="B142" s="6" t="s">
        <v>34</v>
      </c>
      <c r="C142" s="7" t="s">
        <v>312</v>
      </c>
      <c r="D142" s="6"/>
      <c r="E142" s="6"/>
      <c r="F142" s="8" t="s">
        <v>313</v>
      </c>
      <c r="G142" s="9">
        <v>220</v>
      </c>
      <c r="H142" s="10"/>
      <c r="K142" s="51" t="b">
        <v>1</v>
      </c>
      <c r="L142" s="55">
        <v>45696</v>
      </c>
      <c r="M142" s="53" t="b">
        <v>0</v>
      </c>
      <c r="N142" s="54" t="s">
        <v>311</v>
      </c>
      <c r="O142" s="11" t="b">
        <v>1</v>
      </c>
      <c r="P142" s="26">
        <f t="shared" si="8"/>
        <v>45877</v>
      </c>
    </row>
    <row r="143" spans="1:16" ht="16.5" x14ac:dyDescent="0.45">
      <c r="A143" s="48">
        <v>142</v>
      </c>
      <c r="B143" s="6" t="s">
        <v>36</v>
      </c>
      <c r="C143" s="7">
        <v>603419164</v>
      </c>
      <c r="D143" s="6"/>
      <c r="E143" s="6"/>
      <c r="F143" s="8" t="s">
        <v>314</v>
      </c>
      <c r="G143" s="9">
        <v>220</v>
      </c>
      <c r="H143" s="10"/>
      <c r="K143" s="51" t="b">
        <v>1</v>
      </c>
      <c r="L143" s="55">
        <v>45707</v>
      </c>
      <c r="M143" s="53" t="b">
        <v>1</v>
      </c>
      <c r="N143" s="55">
        <f>L143</f>
        <v>45707</v>
      </c>
      <c r="O143" s="11" t="b">
        <v>1</v>
      </c>
      <c r="P143" s="26">
        <f t="shared" si="8"/>
        <v>45888</v>
      </c>
    </row>
    <row r="144" spans="1:16" ht="16.5" x14ac:dyDescent="0.45">
      <c r="A144" s="48">
        <v>143</v>
      </c>
      <c r="B144" s="6" t="s">
        <v>16</v>
      </c>
      <c r="C144" s="7">
        <v>688644001</v>
      </c>
      <c r="D144" s="6"/>
      <c r="E144" s="6"/>
      <c r="F144" s="8" t="s">
        <v>315</v>
      </c>
      <c r="G144" s="9">
        <v>220</v>
      </c>
      <c r="H144" s="10"/>
      <c r="K144" s="51" t="b">
        <v>1</v>
      </c>
      <c r="L144" s="63">
        <v>45709</v>
      </c>
      <c r="M144" s="53" t="b">
        <v>1</v>
      </c>
      <c r="N144" s="63">
        <v>45709</v>
      </c>
      <c r="O144" s="11" t="b">
        <v>1</v>
      </c>
      <c r="P144" s="26">
        <f t="shared" si="8"/>
        <v>45890</v>
      </c>
    </row>
    <row r="145" spans="1:16" ht="66" x14ac:dyDescent="0.45">
      <c r="A145" s="48">
        <v>144</v>
      </c>
      <c r="B145" s="6" t="s">
        <v>41</v>
      </c>
      <c r="C145" s="7">
        <v>609804886</v>
      </c>
      <c r="D145" s="6"/>
      <c r="E145" s="6"/>
      <c r="F145" s="8" t="s">
        <v>316</v>
      </c>
      <c r="G145" s="9" t="s">
        <v>317</v>
      </c>
      <c r="H145" s="10" t="s">
        <v>318</v>
      </c>
      <c r="K145" s="51" t="b">
        <v>1</v>
      </c>
      <c r="L145" s="55">
        <v>45737</v>
      </c>
      <c r="M145" s="53" t="b">
        <v>0</v>
      </c>
      <c r="N145" s="54" t="s">
        <v>319</v>
      </c>
      <c r="O145" s="11" t="b">
        <v>1</v>
      </c>
      <c r="P145" s="26">
        <f t="shared" si="8"/>
        <v>45921</v>
      </c>
    </row>
    <row r="146" spans="1:16" ht="33" x14ac:dyDescent="0.45">
      <c r="A146" s="48">
        <v>145</v>
      </c>
      <c r="B146" s="6" t="s">
        <v>44</v>
      </c>
      <c r="C146" s="7">
        <v>656751554</v>
      </c>
      <c r="D146" s="6"/>
      <c r="E146" s="6"/>
      <c r="F146" s="8" t="s">
        <v>320</v>
      </c>
      <c r="G146" s="9">
        <v>220</v>
      </c>
      <c r="H146" s="10" t="s">
        <v>321</v>
      </c>
      <c r="K146" s="51" t="b">
        <v>1</v>
      </c>
      <c r="L146" s="63">
        <v>45743</v>
      </c>
      <c r="M146" s="53" t="b">
        <v>1</v>
      </c>
      <c r="N146" s="63">
        <f>L146</f>
        <v>45743</v>
      </c>
      <c r="O146" s="11" t="b">
        <v>1</v>
      </c>
      <c r="P146" s="26">
        <f t="shared" si="8"/>
        <v>45927</v>
      </c>
    </row>
    <row r="147" spans="1:16" ht="33" x14ac:dyDescent="0.45">
      <c r="A147" s="48">
        <v>146</v>
      </c>
      <c r="B147" s="6" t="s">
        <v>47</v>
      </c>
      <c r="C147" s="7">
        <v>699546740</v>
      </c>
      <c r="D147" s="6"/>
      <c r="E147" s="6"/>
      <c r="F147" s="8" t="s">
        <v>322</v>
      </c>
      <c r="G147" s="9">
        <v>220</v>
      </c>
      <c r="H147" s="10"/>
      <c r="K147" s="51" t="b">
        <v>1</v>
      </c>
      <c r="L147" s="55">
        <v>45745</v>
      </c>
      <c r="M147" s="53" t="b">
        <v>1</v>
      </c>
      <c r="N147" s="55">
        <v>45745</v>
      </c>
      <c r="O147" s="11" t="b">
        <v>1</v>
      </c>
      <c r="P147" s="26">
        <f t="shared" si="8"/>
        <v>45929</v>
      </c>
    </row>
    <row r="148" spans="1:16" ht="16.5" x14ac:dyDescent="0.45">
      <c r="A148" s="48">
        <v>147</v>
      </c>
      <c r="B148" s="6" t="s">
        <v>49</v>
      </c>
      <c r="C148" s="7" t="s">
        <v>323</v>
      </c>
      <c r="D148" s="6"/>
      <c r="E148" s="6"/>
      <c r="F148" s="8" t="s">
        <v>324</v>
      </c>
      <c r="G148" s="9">
        <v>220</v>
      </c>
      <c r="H148" s="10" t="s">
        <v>325</v>
      </c>
      <c r="K148" s="51" t="b">
        <v>1</v>
      </c>
      <c r="L148" s="63">
        <v>45748</v>
      </c>
      <c r="M148" s="53" t="b">
        <v>0</v>
      </c>
      <c r="N148" s="54"/>
      <c r="O148" s="11" t="b">
        <v>1</v>
      </c>
      <c r="P148" s="26">
        <f t="shared" si="8"/>
        <v>45931</v>
      </c>
    </row>
    <row r="149" spans="1:16" ht="16.5" x14ac:dyDescent="0.45">
      <c r="A149" s="48">
        <v>148</v>
      </c>
      <c r="B149" s="6" t="s">
        <v>16</v>
      </c>
      <c r="C149" s="7">
        <v>615004521</v>
      </c>
      <c r="D149" s="6"/>
      <c r="E149" s="6"/>
      <c r="F149" s="8" t="s">
        <v>326</v>
      </c>
      <c r="G149" s="9">
        <v>220</v>
      </c>
      <c r="H149" s="10"/>
      <c r="K149" s="51" t="b">
        <v>1</v>
      </c>
      <c r="L149" s="55">
        <v>45761</v>
      </c>
      <c r="M149" s="53" t="b">
        <v>1</v>
      </c>
      <c r="N149" s="55">
        <f t="shared" ref="N149:N150" si="9">L149</f>
        <v>45761</v>
      </c>
      <c r="O149" s="11" t="b">
        <v>1</v>
      </c>
      <c r="P149" s="26">
        <f t="shared" si="8"/>
        <v>45944</v>
      </c>
    </row>
    <row r="150" spans="1:16" ht="16.5" x14ac:dyDescent="0.45">
      <c r="A150" s="48">
        <v>149</v>
      </c>
      <c r="B150" s="6" t="s">
        <v>16</v>
      </c>
      <c r="C150" s="7">
        <v>688716359</v>
      </c>
      <c r="D150" s="6"/>
      <c r="E150" s="6"/>
      <c r="F150" s="8" t="s">
        <v>327</v>
      </c>
      <c r="G150" s="9">
        <v>220</v>
      </c>
      <c r="H150" s="10"/>
      <c r="K150" s="51" t="b">
        <v>1</v>
      </c>
      <c r="L150" s="55">
        <v>45779</v>
      </c>
      <c r="M150" s="53" t="b">
        <v>1</v>
      </c>
      <c r="N150" s="55">
        <f t="shared" si="9"/>
        <v>45779</v>
      </c>
      <c r="O150" s="11" t="b">
        <v>1</v>
      </c>
      <c r="P150" s="26">
        <f t="shared" si="8"/>
        <v>45963</v>
      </c>
    </row>
    <row r="151" spans="1:16" ht="16.5" x14ac:dyDescent="0.45">
      <c r="A151" s="48">
        <v>150</v>
      </c>
      <c r="B151" s="6" t="s">
        <v>16</v>
      </c>
      <c r="C151" s="7">
        <v>618646780</v>
      </c>
      <c r="D151" s="6"/>
      <c r="E151" s="6"/>
      <c r="F151" s="8" t="s">
        <v>328</v>
      </c>
      <c r="G151" s="9">
        <v>220</v>
      </c>
      <c r="H151" s="10"/>
      <c r="K151" s="51" t="b">
        <v>1</v>
      </c>
      <c r="L151" s="63">
        <v>45780</v>
      </c>
      <c r="M151" s="53" t="b">
        <v>1</v>
      </c>
      <c r="N151" s="63">
        <v>45780</v>
      </c>
      <c r="O151" s="11" t="b">
        <v>1</v>
      </c>
      <c r="P151" s="26">
        <f t="shared" si="8"/>
        <v>45964</v>
      </c>
    </row>
    <row r="152" spans="1:16" ht="16.5" x14ac:dyDescent="0.45">
      <c r="A152" s="48">
        <v>151</v>
      </c>
      <c r="B152" s="6" t="s">
        <v>58</v>
      </c>
      <c r="C152" s="7">
        <v>653741169</v>
      </c>
      <c r="D152" s="6"/>
      <c r="E152" s="6"/>
      <c r="F152" s="8" t="s">
        <v>329</v>
      </c>
      <c r="G152" s="9">
        <v>220</v>
      </c>
      <c r="H152" s="42" t="s">
        <v>330</v>
      </c>
      <c r="K152" s="51" t="b">
        <v>1</v>
      </c>
      <c r="L152" s="55">
        <v>45785</v>
      </c>
      <c r="M152" s="53" t="b">
        <v>1</v>
      </c>
      <c r="N152" s="55">
        <f>L152</f>
        <v>45785</v>
      </c>
      <c r="O152" s="11" t="b">
        <v>1</v>
      </c>
      <c r="P152" s="26">
        <f t="shared" si="8"/>
        <v>45969</v>
      </c>
    </row>
    <row r="153" spans="1:16" ht="33" x14ac:dyDescent="0.45">
      <c r="A153" s="48">
        <v>152</v>
      </c>
      <c r="B153" s="6" t="s">
        <v>61</v>
      </c>
      <c r="C153" s="7"/>
      <c r="D153" s="6"/>
      <c r="E153" s="6"/>
      <c r="F153" s="8" t="s">
        <v>331</v>
      </c>
      <c r="G153" s="9">
        <v>220</v>
      </c>
      <c r="H153" s="10" t="s">
        <v>332</v>
      </c>
      <c r="K153" s="51" t="b">
        <v>1</v>
      </c>
      <c r="L153" s="55">
        <v>45790</v>
      </c>
      <c r="M153" s="53" t="b">
        <v>0</v>
      </c>
      <c r="N153" s="54"/>
      <c r="O153" s="11" t="b">
        <v>1</v>
      </c>
      <c r="P153" s="26">
        <f t="shared" si="8"/>
        <v>45974</v>
      </c>
    </row>
    <row r="154" spans="1:16" ht="16.5" x14ac:dyDescent="0.45">
      <c r="A154" s="48">
        <v>153</v>
      </c>
      <c r="B154" s="6" t="s">
        <v>64</v>
      </c>
      <c r="C154" s="7"/>
      <c r="D154" s="6"/>
      <c r="E154" s="6"/>
      <c r="F154" s="8" t="s">
        <v>333</v>
      </c>
      <c r="G154" s="9">
        <v>220</v>
      </c>
      <c r="H154" s="10"/>
      <c r="K154" s="51" t="b">
        <v>1</v>
      </c>
      <c r="L154" s="52"/>
      <c r="M154" s="53" t="b">
        <v>1</v>
      </c>
      <c r="N154" s="54"/>
      <c r="O154" s="11" t="b">
        <v>1</v>
      </c>
      <c r="P154" s="26" t="str">
        <f t="shared" si="8"/>
        <v/>
      </c>
    </row>
    <row r="155" spans="1:16" ht="115.5" x14ac:dyDescent="0.45">
      <c r="A155" s="48">
        <v>154</v>
      </c>
      <c r="B155" s="6" t="s">
        <v>68</v>
      </c>
      <c r="C155" s="7">
        <v>606301976</v>
      </c>
      <c r="D155" s="6"/>
      <c r="E155" s="6"/>
      <c r="F155" s="8" t="s">
        <v>334</v>
      </c>
      <c r="G155" s="9">
        <v>300</v>
      </c>
      <c r="H155" s="10" t="s">
        <v>335</v>
      </c>
      <c r="K155" s="51" t="b">
        <v>1</v>
      </c>
      <c r="L155" s="55">
        <v>45820</v>
      </c>
      <c r="M155" s="53" t="b">
        <v>1</v>
      </c>
      <c r="N155" s="55">
        <f t="shared" ref="N155:N157" si="10">L155</f>
        <v>45820</v>
      </c>
      <c r="O155" s="11" t="b">
        <v>1</v>
      </c>
      <c r="P155" s="26">
        <f t="shared" si="8"/>
        <v>46003</v>
      </c>
    </row>
    <row r="156" spans="1:16" ht="16.5" x14ac:dyDescent="0.45">
      <c r="A156" s="48">
        <v>155</v>
      </c>
      <c r="B156" s="6" t="s">
        <v>16</v>
      </c>
      <c r="C156" s="7">
        <v>688650606</v>
      </c>
      <c r="D156" s="6"/>
      <c r="E156" s="6"/>
      <c r="F156" s="8" t="s">
        <v>336</v>
      </c>
      <c r="G156" s="9">
        <v>220</v>
      </c>
      <c r="H156" s="10" t="s">
        <v>337</v>
      </c>
      <c r="K156" s="51" t="b">
        <v>1</v>
      </c>
      <c r="L156" s="63">
        <v>45822</v>
      </c>
      <c r="M156" s="53" t="b">
        <v>1</v>
      </c>
      <c r="N156" s="63">
        <f t="shared" si="10"/>
        <v>45822</v>
      </c>
      <c r="O156" s="11" t="b">
        <v>1</v>
      </c>
      <c r="P156" s="26">
        <f t="shared" si="8"/>
        <v>46005</v>
      </c>
    </row>
    <row r="157" spans="1:16" ht="16.5" x14ac:dyDescent="0.45">
      <c r="A157" s="48">
        <v>156</v>
      </c>
      <c r="B157" s="6" t="s">
        <v>16</v>
      </c>
      <c r="C157" s="7">
        <v>688650606</v>
      </c>
      <c r="D157" s="6"/>
      <c r="E157" s="6"/>
      <c r="F157" s="8" t="s">
        <v>338</v>
      </c>
      <c r="G157" s="9">
        <v>220</v>
      </c>
      <c r="H157" s="10" t="s">
        <v>339</v>
      </c>
      <c r="K157" s="51" t="b">
        <v>1</v>
      </c>
      <c r="L157" s="63">
        <v>45822</v>
      </c>
      <c r="M157" s="53" t="b">
        <v>1</v>
      </c>
      <c r="N157" s="63">
        <f t="shared" si="10"/>
        <v>45822</v>
      </c>
      <c r="O157" s="11" t="b">
        <v>1</v>
      </c>
      <c r="P157" s="26">
        <f t="shared" si="8"/>
        <v>46005</v>
      </c>
    </row>
    <row r="158" spans="1:16" ht="16.5" x14ac:dyDescent="0.45">
      <c r="A158" s="48">
        <v>157</v>
      </c>
      <c r="B158" s="6" t="s">
        <v>16</v>
      </c>
      <c r="C158" s="7">
        <v>669530420</v>
      </c>
      <c r="D158" s="6"/>
      <c r="E158" s="6"/>
      <c r="F158" s="8" t="s">
        <v>340</v>
      </c>
      <c r="G158" s="9">
        <v>220</v>
      </c>
      <c r="H158" s="10"/>
      <c r="K158" s="51" t="b">
        <v>1</v>
      </c>
      <c r="L158" s="63">
        <v>45828</v>
      </c>
      <c r="M158" s="53" t="b">
        <v>1</v>
      </c>
      <c r="N158" s="63">
        <v>45828</v>
      </c>
      <c r="O158" s="11" t="b">
        <v>1</v>
      </c>
      <c r="P158" s="26">
        <f t="shared" si="8"/>
        <v>46011</v>
      </c>
    </row>
    <row r="159" spans="1:16" ht="16.5" x14ac:dyDescent="0.45">
      <c r="A159" s="48">
        <v>158</v>
      </c>
      <c r="B159" s="6" t="s">
        <v>79</v>
      </c>
      <c r="C159" s="7">
        <v>690272531</v>
      </c>
      <c r="D159" s="6"/>
      <c r="E159" s="6"/>
      <c r="F159" s="8" t="s">
        <v>341</v>
      </c>
      <c r="G159" s="9">
        <v>220</v>
      </c>
      <c r="H159" s="10"/>
      <c r="K159" s="51" t="b">
        <v>1</v>
      </c>
      <c r="L159" s="55">
        <v>45830</v>
      </c>
      <c r="M159" s="53" t="b">
        <v>1</v>
      </c>
      <c r="N159" s="55">
        <f>L159</f>
        <v>45830</v>
      </c>
      <c r="O159" s="11" t="b">
        <v>1</v>
      </c>
      <c r="P159" s="26">
        <f t="shared" si="8"/>
        <v>46013</v>
      </c>
    </row>
    <row r="160" spans="1:16" ht="16.5" x14ac:dyDescent="0.45">
      <c r="A160" s="48">
        <v>159</v>
      </c>
      <c r="B160" s="6" t="s">
        <v>82</v>
      </c>
      <c r="C160" s="7"/>
      <c r="D160" s="6"/>
      <c r="E160" s="6"/>
      <c r="F160" s="8" t="s">
        <v>342</v>
      </c>
      <c r="G160" s="9">
        <v>220</v>
      </c>
      <c r="H160" s="10"/>
      <c r="K160" s="51" t="b">
        <v>1</v>
      </c>
      <c r="L160" s="63">
        <v>45834</v>
      </c>
      <c r="M160" s="53" t="b">
        <v>1</v>
      </c>
      <c r="N160" s="55">
        <v>45834</v>
      </c>
      <c r="O160" s="11" t="b">
        <v>0</v>
      </c>
      <c r="P160" s="26">
        <f t="shared" si="8"/>
        <v>46017</v>
      </c>
    </row>
    <row r="161" spans="1:16" ht="16.5" x14ac:dyDescent="0.45">
      <c r="A161" s="48">
        <v>160</v>
      </c>
      <c r="B161" s="15" t="s">
        <v>86</v>
      </c>
      <c r="C161" s="7"/>
      <c r="D161" s="6"/>
      <c r="E161" s="6"/>
      <c r="F161" s="8" t="s">
        <v>343</v>
      </c>
      <c r="G161" s="9">
        <v>220</v>
      </c>
      <c r="H161" s="10"/>
      <c r="K161" s="51" t="b">
        <v>1</v>
      </c>
      <c r="L161" s="63">
        <v>45836</v>
      </c>
      <c r="M161" s="53" t="b">
        <v>1</v>
      </c>
      <c r="N161" s="63">
        <v>45836</v>
      </c>
      <c r="O161" s="11" t="b">
        <v>1</v>
      </c>
      <c r="P161" s="26">
        <f t="shared" si="8"/>
        <v>46019</v>
      </c>
    </row>
    <row r="162" spans="1:16" ht="16.899999999999999" thickBot="1" x14ac:dyDescent="0.5">
      <c r="A162" s="48">
        <v>161</v>
      </c>
      <c r="B162" s="20" t="s">
        <v>16</v>
      </c>
      <c r="C162" s="7">
        <v>633469624</v>
      </c>
      <c r="D162" s="6"/>
      <c r="E162" s="6"/>
      <c r="F162" s="8" t="s">
        <v>344</v>
      </c>
      <c r="G162" s="9">
        <v>220</v>
      </c>
      <c r="H162" s="10" t="s">
        <v>345</v>
      </c>
      <c r="K162" s="51" t="b">
        <v>1</v>
      </c>
      <c r="L162" s="63">
        <v>45848</v>
      </c>
      <c r="M162" s="53" t="b">
        <v>1</v>
      </c>
      <c r="N162" s="63">
        <v>45848</v>
      </c>
      <c r="O162" s="11" t="b">
        <v>1</v>
      </c>
      <c r="P162" s="26">
        <f t="shared" si="8"/>
        <v>46032</v>
      </c>
    </row>
    <row r="163" spans="1:16" ht="16.899999999999999" thickTop="1" x14ac:dyDescent="0.45">
      <c r="A163" s="48">
        <v>162</v>
      </c>
      <c r="B163" s="6" t="s">
        <v>92</v>
      </c>
      <c r="C163" s="7"/>
      <c r="D163" s="6"/>
      <c r="E163" s="6"/>
      <c r="F163" s="8" t="s">
        <v>346</v>
      </c>
      <c r="G163" s="9">
        <v>220</v>
      </c>
      <c r="H163" s="10" t="s">
        <v>347</v>
      </c>
      <c r="K163" s="51" t="b">
        <v>1</v>
      </c>
      <c r="L163" s="63">
        <v>45861</v>
      </c>
      <c r="M163" s="53" t="b">
        <v>1</v>
      </c>
      <c r="N163" s="63">
        <v>45861</v>
      </c>
      <c r="O163" s="11" t="b">
        <v>1</v>
      </c>
      <c r="P163" s="26">
        <f t="shared" si="8"/>
        <v>46045</v>
      </c>
    </row>
    <row r="164" spans="1:16" ht="33" x14ac:dyDescent="0.45">
      <c r="A164" s="48">
        <v>163</v>
      </c>
      <c r="B164" s="6" t="s">
        <v>16</v>
      </c>
      <c r="C164" s="7"/>
      <c r="D164" s="6"/>
      <c r="E164" s="6"/>
      <c r="F164" s="8" t="s">
        <v>348</v>
      </c>
      <c r="G164" s="9">
        <v>220</v>
      </c>
      <c r="H164" s="10" t="s">
        <v>349</v>
      </c>
      <c r="K164" s="51" t="b">
        <v>1</v>
      </c>
      <c r="L164" s="63">
        <v>45861</v>
      </c>
      <c r="M164" s="53" t="b">
        <v>1</v>
      </c>
      <c r="N164" s="63">
        <v>45861</v>
      </c>
      <c r="O164" s="11" t="b">
        <v>0</v>
      </c>
      <c r="P164" s="26">
        <f t="shared" si="8"/>
        <v>46045</v>
      </c>
    </row>
    <row r="165" spans="1:16" ht="16.5" x14ac:dyDescent="0.45">
      <c r="A165" s="48">
        <v>164</v>
      </c>
      <c r="B165" s="6" t="s">
        <v>16</v>
      </c>
      <c r="C165" s="7">
        <v>619356392</v>
      </c>
      <c r="D165" s="6"/>
      <c r="E165" s="6"/>
      <c r="F165" s="8" t="s">
        <v>350</v>
      </c>
      <c r="G165" s="9">
        <v>220</v>
      </c>
      <c r="H165" s="10" t="s">
        <v>351</v>
      </c>
      <c r="K165" s="51" t="b">
        <v>1</v>
      </c>
      <c r="L165" s="63">
        <v>45870</v>
      </c>
      <c r="M165" s="53" t="b">
        <v>1</v>
      </c>
      <c r="N165" s="63">
        <v>45870</v>
      </c>
      <c r="O165" s="11" t="b">
        <v>1</v>
      </c>
      <c r="P165" s="26">
        <f t="shared" si="8"/>
        <v>46054</v>
      </c>
    </row>
    <row r="166" spans="1:16" ht="49.5" x14ac:dyDescent="0.45">
      <c r="A166" s="48">
        <v>165</v>
      </c>
      <c r="B166" s="6" t="s">
        <v>100</v>
      </c>
      <c r="C166" s="7">
        <v>688610118</v>
      </c>
      <c r="D166" s="6" t="s">
        <v>352</v>
      </c>
      <c r="E166" s="6"/>
      <c r="F166" s="8"/>
      <c r="G166" s="9">
        <v>200</v>
      </c>
      <c r="H166" s="10" t="s">
        <v>353</v>
      </c>
      <c r="K166" s="51" t="b">
        <v>0</v>
      </c>
      <c r="L166" s="52"/>
      <c r="M166" s="53" t="b">
        <v>0</v>
      </c>
      <c r="N166" s="54"/>
      <c r="O166" s="11" t="b">
        <v>0</v>
      </c>
      <c r="P166" s="26" t="str">
        <f t="shared" si="8"/>
        <v/>
      </c>
    </row>
    <row r="167" spans="1:16" ht="33" x14ac:dyDescent="0.45">
      <c r="A167" s="48">
        <v>166</v>
      </c>
      <c r="B167" s="6" t="s">
        <v>103</v>
      </c>
      <c r="C167" s="7">
        <v>690272531</v>
      </c>
      <c r="D167" s="6" t="s">
        <v>354</v>
      </c>
      <c r="E167" s="6"/>
      <c r="F167" s="8" t="s">
        <v>355</v>
      </c>
      <c r="G167" s="9">
        <v>220</v>
      </c>
      <c r="H167" s="10" t="s">
        <v>356</v>
      </c>
      <c r="K167" s="51" t="b">
        <v>1</v>
      </c>
      <c r="L167" s="55">
        <v>45891</v>
      </c>
      <c r="M167" s="53" t="b">
        <v>1</v>
      </c>
      <c r="N167" s="55">
        <f t="shared" ref="N167:N168" si="11">L167</f>
        <v>45891</v>
      </c>
      <c r="O167" s="11" t="b">
        <v>1</v>
      </c>
      <c r="P167" s="26">
        <f t="shared" si="8"/>
        <v>46075</v>
      </c>
    </row>
    <row r="168" spans="1:16" ht="165" x14ac:dyDescent="0.45">
      <c r="A168" s="48">
        <v>167</v>
      </c>
      <c r="B168" s="6" t="s">
        <v>106</v>
      </c>
      <c r="C168" s="7">
        <v>943653063</v>
      </c>
      <c r="D168" s="6"/>
      <c r="E168" s="6"/>
      <c r="F168" s="8" t="s">
        <v>357</v>
      </c>
      <c r="G168" s="9">
        <v>330</v>
      </c>
      <c r="H168" s="10" t="s">
        <v>358</v>
      </c>
      <c r="K168" s="51" t="b">
        <v>1</v>
      </c>
      <c r="L168" s="55">
        <v>45909</v>
      </c>
      <c r="M168" s="53" t="b">
        <v>1</v>
      </c>
      <c r="N168" s="55">
        <f t="shared" si="11"/>
        <v>45909</v>
      </c>
      <c r="O168" s="11" t="b">
        <v>1</v>
      </c>
      <c r="P168" s="26">
        <f t="shared" si="8"/>
        <v>46090</v>
      </c>
    </row>
    <row r="169" spans="1:16" ht="16.5" x14ac:dyDescent="0.45">
      <c r="A169" s="48">
        <v>168</v>
      </c>
      <c r="B169" s="6" t="s">
        <v>109</v>
      </c>
      <c r="C169" s="7"/>
      <c r="D169" s="6"/>
      <c r="E169" s="6"/>
      <c r="F169" s="8" t="s">
        <v>359</v>
      </c>
      <c r="G169" s="9">
        <v>220</v>
      </c>
      <c r="H169" s="10" t="s">
        <v>360</v>
      </c>
      <c r="K169" s="51" t="b">
        <v>1</v>
      </c>
      <c r="L169" s="63">
        <v>45911</v>
      </c>
      <c r="M169" s="53" t="b">
        <v>1</v>
      </c>
      <c r="N169" s="54"/>
      <c r="O169" s="11" t="b">
        <v>1</v>
      </c>
      <c r="P169" s="26">
        <f t="shared" si="8"/>
        <v>46092</v>
      </c>
    </row>
    <row r="170" spans="1:16" ht="16.5" x14ac:dyDescent="0.45">
      <c r="A170" s="48">
        <v>169</v>
      </c>
      <c r="B170" s="6" t="s">
        <v>16</v>
      </c>
      <c r="C170" s="7"/>
      <c r="D170" s="6"/>
      <c r="E170" s="6"/>
      <c r="F170" s="8" t="s">
        <v>361</v>
      </c>
      <c r="G170" s="9">
        <v>220</v>
      </c>
      <c r="H170" s="10" t="s">
        <v>362</v>
      </c>
      <c r="K170" s="51" t="b">
        <v>1</v>
      </c>
      <c r="L170" s="63">
        <v>45917</v>
      </c>
      <c r="M170" s="53" t="b">
        <v>1</v>
      </c>
      <c r="N170" s="63">
        <v>45917</v>
      </c>
      <c r="O170" s="11" t="b">
        <v>1</v>
      </c>
      <c r="P170" s="26">
        <f t="shared" si="8"/>
        <v>46098</v>
      </c>
    </row>
    <row r="171" spans="1:16" ht="66" x14ac:dyDescent="0.45">
      <c r="A171" s="48">
        <v>170</v>
      </c>
      <c r="B171" s="6" t="s">
        <v>115</v>
      </c>
      <c r="C171" s="7"/>
      <c r="D171" s="6"/>
      <c r="E171" s="6"/>
      <c r="F171" s="43" t="s">
        <v>363</v>
      </c>
      <c r="G171" s="9">
        <v>220</v>
      </c>
      <c r="H171" s="10" t="s">
        <v>364</v>
      </c>
      <c r="K171" s="51" t="b">
        <v>1</v>
      </c>
      <c r="L171" s="63">
        <v>45919</v>
      </c>
      <c r="M171" s="53" t="b">
        <v>1</v>
      </c>
      <c r="N171" s="63">
        <v>45919</v>
      </c>
      <c r="O171" s="11" t="b">
        <v>1</v>
      </c>
      <c r="P171" s="26">
        <f t="shared" si="8"/>
        <v>46100</v>
      </c>
    </row>
    <row r="172" spans="1:16" ht="33" x14ac:dyDescent="0.45">
      <c r="A172" s="48">
        <v>171</v>
      </c>
      <c r="B172" s="6" t="s">
        <v>16</v>
      </c>
      <c r="C172" s="7">
        <v>609118105</v>
      </c>
      <c r="D172" s="6" t="s">
        <v>365</v>
      </c>
      <c r="E172" s="6"/>
      <c r="F172" s="43" t="s">
        <v>366</v>
      </c>
      <c r="G172" s="9">
        <v>220</v>
      </c>
      <c r="H172" s="10" t="s">
        <v>367</v>
      </c>
      <c r="K172" s="51" t="b">
        <v>1</v>
      </c>
      <c r="L172" s="63">
        <v>45922</v>
      </c>
      <c r="M172" s="53" t="b">
        <v>1</v>
      </c>
      <c r="N172" s="63">
        <v>45922</v>
      </c>
      <c r="O172" s="11" t="b">
        <v>0</v>
      </c>
      <c r="P172" s="26">
        <f t="shared" si="8"/>
        <v>46103</v>
      </c>
    </row>
    <row r="173" spans="1:16" ht="16.5" x14ac:dyDescent="0.45">
      <c r="A173" s="48">
        <v>172</v>
      </c>
      <c r="B173" s="6" t="s">
        <v>120</v>
      </c>
      <c r="C173" s="7"/>
      <c r="F173" s="8" t="s">
        <v>368</v>
      </c>
      <c r="G173" s="9">
        <v>225</v>
      </c>
      <c r="H173" s="10">
        <v>30425</v>
      </c>
      <c r="K173" s="51" t="b">
        <v>1</v>
      </c>
      <c r="L173" s="55">
        <v>45940</v>
      </c>
      <c r="M173" s="53" t="b">
        <v>1</v>
      </c>
      <c r="N173" s="55">
        <v>45940</v>
      </c>
      <c r="O173" s="11" t="b">
        <v>1</v>
      </c>
      <c r="P173" s="26">
        <f t="shared" si="8"/>
        <v>46122</v>
      </c>
    </row>
    <row r="174" spans="1:16" ht="33" x14ac:dyDescent="0.45">
      <c r="A174" s="48">
        <v>173</v>
      </c>
      <c r="B174" s="6" t="s">
        <v>14</v>
      </c>
      <c r="C174" s="7">
        <v>667751367</v>
      </c>
      <c r="D174" s="6"/>
      <c r="E174" s="6"/>
      <c r="F174" s="13" t="s">
        <v>369</v>
      </c>
      <c r="G174" s="9">
        <v>225</v>
      </c>
      <c r="H174" s="10" t="s">
        <v>370</v>
      </c>
      <c r="K174" s="51" t="b">
        <v>0</v>
      </c>
      <c r="L174" s="52"/>
      <c r="M174" s="53" t="b">
        <v>0</v>
      </c>
      <c r="N174" s="54"/>
      <c r="O174" s="11" t="b">
        <v>0</v>
      </c>
      <c r="P174" s="26" t="str">
        <f t="shared" si="8"/>
        <v/>
      </c>
    </row>
    <row r="175" spans="1:16" ht="33" x14ac:dyDescent="0.45">
      <c r="A175" s="48">
        <v>174</v>
      </c>
      <c r="B175" s="6" t="s">
        <v>17</v>
      </c>
      <c r="C175" s="7"/>
      <c r="D175" s="6"/>
      <c r="E175" s="6"/>
      <c r="F175" s="13" t="s">
        <v>371</v>
      </c>
      <c r="G175" s="9">
        <v>225</v>
      </c>
      <c r="H175" s="10" t="s">
        <v>372</v>
      </c>
      <c r="K175" s="51" t="b">
        <v>1</v>
      </c>
      <c r="L175" s="55">
        <v>45974</v>
      </c>
      <c r="M175" s="53" t="b">
        <v>1</v>
      </c>
      <c r="N175" s="54"/>
      <c r="O175" s="11" t="b">
        <v>1</v>
      </c>
      <c r="P175" s="26">
        <f t="shared" si="8"/>
        <v>46155</v>
      </c>
    </row>
    <row r="176" spans="1:16" ht="16.5" x14ac:dyDescent="0.45">
      <c r="A176" s="48"/>
      <c r="B176" s="6" t="s">
        <v>18</v>
      </c>
      <c r="C176" s="7"/>
      <c r="D176" s="6"/>
      <c r="E176" s="6"/>
      <c r="F176" s="7">
        <v>3625</v>
      </c>
      <c r="G176" s="9">
        <v>225</v>
      </c>
      <c r="H176" s="10"/>
      <c r="K176" s="51" t="b">
        <v>0</v>
      </c>
      <c r="L176" s="55"/>
      <c r="M176" s="53" t="b">
        <v>0</v>
      </c>
      <c r="N176" s="55"/>
      <c r="O176" s="11" t="b">
        <v>0</v>
      </c>
      <c r="P176" s="26"/>
    </row>
    <row r="177" spans="1:16" ht="16.5" x14ac:dyDescent="0.45">
      <c r="A177" s="48">
        <v>175</v>
      </c>
      <c r="B177" s="6" t="s">
        <v>20</v>
      </c>
      <c r="C177" s="7"/>
      <c r="D177" s="6"/>
      <c r="E177" s="6"/>
      <c r="F177" s="13" t="s">
        <v>373</v>
      </c>
      <c r="G177" s="9">
        <v>225</v>
      </c>
      <c r="H177" s="10"/>
      <c r="K177" s="51" t="b">
        <v>1</v>
      </c>
      <c r="L177" s="55">
        <v>45986</v>
      </c>
      <c r="M177" s="53" t="b">
        <v>1</v>
      </c>
      <c r="N177" s="55">
        <v>45986</v>
      </c>
      <c r="O177" s="11" t="b">
        <v>0</v>
      </c>
      <c r="P177" s="26">
        <f t="shared" ref="P177:P193" si="12">IF(L177="","",EDATE(L177,6))</f>
        <v>46167</v>
      </c>
    </row>
    <row r="178" spans="1:16" ht="16.5" x14ac:dyDescent="0.45">
      <c r="A178" s="48">
        <v>176</v>
      </c>
      <c r="B178" s="6" t="s">
        <v>22</v>
      </c>
      <c r="C178" s="7"/>
      <c r="D178" s="6"/>
      <c r="E178" s="6"/>
      <c r="F178" s="13" t="s">
        <v>374</v>
      </c>
      <c r="G178" s="9">
        <v>225</v>
      </c>
      <c r="H178" s="10" t="s">
        <v>171</v>
      </c>
      <c r="K178" s="51" t="b">
        <v>1</v>
      </c>
      <c r="L178" s="55">
        <v>45986</v>
      </c>
      <c r="M178" s="53" t="b">
        <v>1</v>
      </c>
      <c r="N178" s="55">
        <v>45986</v>
      </c>
      <c r="O178" s="11" t="b">
        <v>0</v>
      </c>
      <c r="P178" s="26">
        <f t="shared" si="12"/>
        <v>46167</v>
      </c>
    </row>
    <row r="179" spans="1:16" ht="99" x14ac:dyDescent="0.45">
      <c r="A179" s="48">
        <v>180</v>
      </c>
      <c r="B179" s="6" t="s">
        <v>24</v>
      </c>
      <c r="C179" s="7"/>
      <c r="D179" s="6"/>
      <c r="E179" s="6"/>
      <c r="F179" s="8" t="s">
        <v>375</v>
      </c>
      <c r="G179" s="9">
        <v>225</v>
      </c>
      <c r="H179" s="10" t="s">
        <v>376</v>
      </c>
      <c r="K179" s="51" t="b">
        <v>1</v>
      </c>
      <c r="L179" s="52"/>
      <c r="M179" s="53" t="b">
        <v>1</v>
      </c>
      <c r="N179" s="54" t="s">
        <v>325</v>
      </c>
      <c r="O179" s="11" t="b">
        <v>1</v>
      </c>
      <c r="P179" s="26" t="str">
        <f t="shared" si="12"/>
        <v/>
      </c>
    </row>
    <row r="180" spans="1:16" ht="99" x14ac:dyDescent="0.45">
      <c r="A180" s="48">
        <v>181</v>
      </c>
      <c r="B180" s="6" t="s">
        <v>26</v>
      </c>
      <c r="C180" s="7"/>
      <c r="D180" s="6"/>
      <c r="E180" s="6"/>
      <c r="F180" s="8" t="s">
        <v>377</v>
      </c>
      <c r="G180" s="9">
        <v>225</v>
      </c>
      <c r="H180" s="10" t="s">
        <v>376</v>
      </c>
      <c r="K180" s="51" t="b">
        <v>1</v>
      </c>
      <c r="L180" s="52"/>
      <c r="M180" s="53" t="b">
        <v>0</v>
      </c>
      <c r="N180" s="54" t="s">
        <v>325</v>
      </c>
      <c r="O180" s="11" t="b">
        <v>1</v>
      </c>
      <c r="P180" s="26" t="str">
        <f t="shared" si="12"/>
        <v/>
      </c>
    </row>
    <row r="181" spans="1:16" ht="99" x14ac:dyDescent="0.45">
      <c r="A181" s="48">
        <v>182</v>
      </c>
      <c r="B181" s="6" t="s">
        <v>27</v>
      </c>
      <c r="C181" s="7"/>
      <c r="D181" s="6"/>
      <c r="E181" s="6"/>
      <c r="F181" s="8" t="s">
        <v>378</v>
      </c>
      <c r="G181" s="9">
        <v>225</v>
      </c>
      <c r="H181" s="10" t="s">
        <v>376</v>
      </c>
      <c r="K181" s="51" t="b">
        <v>1</v>
      </c>
      <c r="L181" s="52"/>
      <c r="M181" s="53" t="b">
        <v>0</v>
      </c>
      <c r="N181" s="54" t="s">
        <v>325</v>
      </c>
      <c r="O181" s="11" t="b">
        <v>1</v>
      </c>
      <c r="P181" s="26" t="str">
        <f t="shared" si="12"/>
        <v/>
      </c>
    </row>
    <row r="182" spans="1:16" ht="99" x14ac:dyDescent="0.45">
      <c r="A182" s="48">
        <v>183</v>
      </c>
      <c r="B182" s="6" t="s">
        <v>28</v>
      </c>
      <c r="C182" s="7"/>
      <c r="D182" s="6"/>
      <c r="E182" s="6"/>
      <c r="F182" s="8" t="s">
        <v>379</v>
      </c>
      <c r="G182" s="9">
        <v>225</v>
      </c>
      <c r="H182" s="10" t="s">
        <v>376</v>
      </c>
      <c r="K182" s="51" t="b">
        <v>1</v>
      </c>
      <c r="L182" s="52"/>
      <c r="M182" s="53" t="b">
        <v>1</v>
      </c>
      <c r="N182" s="54" t="s">
        <v>325</v>
      </c>
      <c r="O182" s="11" t="b">
        <v>1</v>
      </c>
      <c r="P182" s="26" t="str">
        <f t="shared" si="12"/>
        <v/>
      </c>
    </row>
    <row r="183" spans="1:16" ht="99" x14ac:dyDescent="0.45">
      <c r="A183" s="48">
        <v>184</v>
      </c>
      <c r="B183" s="6" t="s">
        <v>28</v>
      </c>
      <c r="C183" s="7"/>
      <c r="D183" s="6"/>
      <c r="E183" s="6"/>
      <c r="F183" s="8" t="s">
        <v>380</v>
      </c>
      <c r="G183" s="9">
        <v>225</v>
      </c>
      <c r="H183" s="10" t="s">
        <v>376</v>
      </c>
      <c r="K183" s="51" t="b">
        <v>1</v>
      </c>
      <c r="L183" s="52"/>
      <c r="M183" s="53" t="b">
        <v>0</v>
      </c>
      <c r="N183" s="54" t="s">
        <v>325</v>
      </c>
      <c r="O183" s="11" t="b">
        <v>1</v>
      </c>
      <c r="P183" s="26" t="str">
        <f t="shared" si="12"/>
        <v/>
      </c>
    </row>
    <row r="184" spans="1:16" ht="99" x14ac:dyDescent="0.45">
      <c r="A184" s="48">
        <v>185</v>
      </c>
      <c r="B184" s="6" t="s">
        <v>32</v>
      </c>
      <c r="C184" s="7"/>
      <c r="D184" s="6"/>
      <c r="E184" s="6"/>
      <c r="F184" s="8" t="s">
        <v>381</v>
      </c>
      <c r="G184" s="9">
        <v>225</v>
      </c>
      <c r="H184" s="10" t="s">
        <v>376</v>
      </c>
      <c r="K184" s="51" t="b">
        <v>1</v>
      </c>
      <c r="L184" s="52"/>
      <c r="M184" s="53" t="b">
        <v>0</v>
      </c>
      <c r="N184" s="54" t="s">
        <v>325</v>
      </c>
      <c r="O184" s="11" t="b">
        <v>1</v>
      </c>
      <c r="P184" s="26" t="str">
        <f t="shared" si="12"/>
        <v/>
      </c>
    </row>
    <row r="185" spans="1:16" ht="99" x14ac:dyDescent="0.45">
      <c r="A185" s="48">
        <v>186</v>
      </c>
      <c r="B185" s="6" t="s">
        <v>34</v>
      </c>
      <c r="C185" s="7"/>
      <c r="D185" s="6"/>
      <c r="E185" s="6"/>
      <c r="F185" s="8" t="s">
        <v>382</v>
      </c>
      <c r="G185" s="9">
        <v>225</v>
      </c>
      <c r="H185" s="10" t="s">
        <v>376</v>
      </c>
      <c r="K185" s="51" t="b">
        <v>1</v>
      </c>
      <c r="L185" s="52"/>
      <c r="M185" s="53" t="b">
        <v>0</v>
      </c>
      <c r="N185" s="54" t="s">
        <v>325</v>
      </c>
      <c r="O185" s="11" t="b">
        <v>1</v>
      </c>
      <c r="P185" s="26" t="str">
        <f t="shared" si="12"/>
        <v/>
      </c>
    </row>
    <row r="186" spans="1:16" ht="99" x14ac:dyDescent="0.45">
      <c r="A186" s="48">
        <v>187</v>
      </c>
      <c r="B186" s="6" t="s">
        <v>36</v>
      </c>
      <c r="C186" s="7"/>
      <c r="D186" s="6"/>
      <c r="E186" s="6"/>
      <c r="F186" s="8" t="s">
        <v>383</v>
      </c>
      <c r="G186" s="9">
        <v>225</v>
      </c>
      <c r="H186" s="10" t="s">
        <v>376</v>
      </c>
      <c r="K186" s="51" t="b">
        <v>1</v>
      </c>
      <c r="L186" s="52"/>
      <c r="M186" s="53" t="b">
        <v>0</v>
      </c>
      <c r="N186" s="54" t="s">
        <v>325</v>
      </c>
      <c r="O186" s="11" t="b">
        <v>1</v>
      </c>
      <c r="P186" s="26" t="str">
        <f t="shared" si="12"/>
        <v/>
      </c>
    </row>
    <row r="187" spans="1:16" ht="99" x14ac:dyDescent="0.45">
      <c r="A187" s="48">
        <v>188</v>
      </c>
      <c r="B187" s="6" t="s">
        <v>16</v>
      </c>
      <c r="C187" s="7"/>
      <c r="D187" s="6"/>
      <c r="E187" s="6"/>
      <c r="F187" s="8" t="s">
        <v>384</v>
      </c>
      <c r="G187" s="9">
        <v>225</v>
      </c>
      <c r="H187" s="10" t="s">
        <v>376</v>
      </c>
      <c r="K187" s="51" t="b">
        <v>1</v>
      </c>
      <c r="L187" s="52"/>
      <c r="M187" s="53" t="b">
        <v>0</v>
      </c>
      <c r="N187" s="54" t="s">
        <v>325</v>
      </c>
      <c r="O187" s="11" t="b">
        <v>0</v>
      </c>
      <c r="P187" s="26" t="str">
        <f t="shared" si="12"/>
        <v/>
      </c>
    </row>
    <row r="188" spans="1:16" ht="99" x14ac:dyDescent="0.45">
      <c r="A188" s="48">
        <v>189</v>
      </c>
      <c r="B188" s="6" t="s">
        <v>41</v>
      </c>
      <c r="C188" s="7"/>
      <c r="D188" s="6"/>
      <c r="E188" s="6"/>
      <c r="F188" s="8" t="s">
        <v>385</v>
      </c>
      <c r="G188" s="9">
        <v>225</v>
      </c>
      <c r="H188" s="10" t="s">
        <v>376</v>
      </c>
      <c r="K188" s="51" t="b">
        <v>1</v>
      </c>
      <c r="L188" s="52"/>
      <c r="M188" s="53" t="b">
        <v>0</v>
      </c>
      <c r="N188" s="54" t="s">
        <v>325</v>
      </c>
      <c r="O188" s="11" t="b">
        <v>1</v>
      </c>
      <c r="P188" s="26" t="str">
        <f t="shared" si="12"/>
        <v/>
      </c>
    </row>
    <row r="189" spans="1:16" ht="99" x14ac:dyDescent="0.45">
      <c r="A189" s="48">
        <v>190</v>
      </c>
      <c r="B189" s="6" t="s">
        <v>44</v>
      </c>
      <c r="C189" s="7"/>
      <c r="D189" s="6"/>
      <c r="E189" s="6"/>
      <c r="F189" s="8" t="s">
        <v>386</v>
      </c>
      <c r="G189" s="9">
        <v>225</v>
      </c>
      <c r="H189" s="10" t="s">
        <v>376</v>
      </c>
      <c r="K189" s="51" t="b">
        <v>1</v>
      </c>
      <c r="L189" s="52"/>
      <c r="M189" s="53" t="b">
        <v>0</v>
      </c>
      <c r="N189" s="54" t="s">
        <v>325</v>
      </c>
      <c r="O189" s="11" t="b">
        <v>1</v>
      </c>
      <c r="P189" s="26" t="str">
        <f t="shared" si="12"/>
        <v/>
      </c>
    </row>
    <row r="190" spans="1:16" ht="99" x14ac:dyDescent="0.45">
      <c r="A190" s="48">
        <v>191</v>
      </c>
      <c r="B190" s="6" t="s">
        <v>47</v>
      </c>
      <c r="C190" s="7"/>
      <c r="D190" s="6"/>
      <c r="E190" s="6"/>
      <c r="F190" s="8" t="s">
        <v>387</v>
      </c>
      <c r="G190" s="9">
        <v>225</v>
      </c>
      <c r="H190" s="10" t="s">
        <v>376</v>
      </c>
      <c r="K190" s="51" t="b">
        <v>1</v>
      </c>
      <c r="L190" s="52"/>
      <c r="M190" s="53" t="b">
        <v>0</v>
      </c>
      <c r="N190" s="54" t="s">
        <v>325</v>
      </c>
      <c r="O190" s="11" t="b">
        <v>0</v>
      </c>
      <c r="P190" s="26" t="str">
        <f t="shared" si="12"/>
        <v/>
      </c>
    </row>
    <row r="191" spans="1:16" ht="82.5" x14ac:dyDescent="0.45">
      <c r="A191" s="48">
        <v>194</v>
      </c>
      <c r="B191" s="6" t="s">
        <v>49</v>
      </c>
      <c r="C191" s="7"/>
      <c r="D191" s="6"/>
      <c r="E191" s="6"/>
      <c r="F191" s="8" t="s">
        <v>388</v>
      </c>
      <c r="G191" s="9">
        <v>1100</v>
      </c>
      <c r="H191" s="44" t="s">
        <v>389</v>
      </c>
      <c r="K191" s="51" t="b">
        <v>0</v>
      </c>
      <c r="L191" s="69"/>
      <c r="M191" s="53" t="b">
        <v>0</v>
      </c>
      <c r="N191" s="54"/>
      <c r="O191" s="11" t="b">
        <v>0</v>
      </c>
      <c r="P191" s="26" t="str">
        <f t="shared" si="12"/>
        <v/>
      </c>
    </row>
    <row r="192" spans="1:16" ht="148.5" x14ac:dyDescent="0.45">
      <c r="A192" s="48">
        <v>195</v>
      </c>
      <c r="B192" s="6" t="s">
        <v>16</v>
      </c>
      <c r="C192" s="7"/>
      <c r="D192" s="6"/>
      <c r="E192" s="6"/>
      <c r="F192" s="8" t="s">
        <v>390</v>
      </c>
      <c r="G192" s="9">
        <v>500</v>
      </c>
      <c r="H192" s="10" t="s">
        <v>391</v>
      </c>
      <c r="K192" s="51" t="b">
        <v>1</v>
      </c>
      <c r="L192" s="55">
        <v>46011</v>
      </c>
      <c r="M192" s="53" t="b">
        <v>1</v>
      </c>
      <c r="N192" s="55">
        <f t="shared" ref="N192:N194" si="13">L192</f>
        <v>46011</v>
      </c>
      <c r="O192" s="11" t="b">
        <v>1</v>
      </c>
      <c r="P192" s="26">
        <f t="shared" si="12"/>
        <v>46193</v>
      </c>
    </row>
    <row r="193" spans="1:26" ht="33" x14ac:dyDescent="0.45">
      <c r="A193" s="48"/>
      <c r="B193" s="6" t="s">
        <v>16</v>
      </c>
      <c r="C193" s="7"/>
      <c r="D193" s="6"/>
      <c r="E193" s="6"/>
      <c r="F193" s="8" t="s">
        <v>392</v>
      </c>
      <c r="G193" s="9">
        <v>200</v>
      </c>
      <c r="H193" s="10" t="s">
        <v>393</v>
      </c>
      <c r="K193" s="51" t="b">
        <v>1</v>
      </c>
      <c r="L193" s="55">
        <v>46103</v>
      </c>
      <c r="M193" s="53" t="b">
        <v>1</v>
      </c>
      <c r="N193" s="55">
        <f t="shared" si="13"/>
        <v>46103</v>
      </c>
      <c r="O193" s="11" t="b">
        <v>0</v>
      </c>
      <c r="P193" s="26">
        <f t="shared" si="12"/>
        <v>46287</v>
      </c>
    </row>
    <row r="194" spans="1:26" ht="132" x14ac:dyDescent="0.45">
      <c r="A194" s="48"/>
      <c r="B194" s="6" t="s">
        <v>16</v>
      </c>
      <c r="D194" s="6"/>
      <c r="E194" s="6"/>
      <c r="F194" s="45" t="s">
        <v>394</v>
      </c>
      <c r="G194" s="9">
        <v>225</v>
      </c>
      <c r="H194" s="10" t="s">
        <v>395</v>
      </c>
      <c r="K194" s="51" t="b">
        <v>1</v>
      </c>
      <c r="L194" s="55">
        <v>46168</v>
      </c>
      <c r="M194" s="53" t="b">
        <v>1</v>
      </c>
      <c r="N194" s="55">
        <f t="shared" si="13"/>
        <v>46168</v>
      </c>
      <c r="O194" s="11" t="b">
        <v>0</v>
      </c>
      <c r="P194" s="26"/>
    </row>
    <row r="195" spans="1:26" ht="115.5" x14ac:dyDescent="0.45">
      <c r="A195" s="48"/>
      <c r="B195" s="6" t="s">
        <v>58</v>
      </c>
      <c r="C195" s="7"/>
      <c r="D195" s="46"/>
      <c r="E195" s="46"/>
      <c r="F195" s="8" t="s">
        <v>396</v>
      </c>
      <c r="G195" s="9">
        <v>0</v>
      </c>
      <c r="H195" s="47" t="s">
        <v>397</v>
      </c>
      <c r="K195" s="51" t="b">
        <v>1</v>
      </c>
      <c r="L195" s="55">
        <v>46173</v>
      </c>
      <c r="M195" s="53" t="b">
        <v>0</v>
      </c>
      <c r="N195" s="54"/>
      <c r="O195" s="11" t="b">
        <v>0</v>
      </c>
      <c r="P195" s="26">
        <f t="shared" ref="P195" si="14">IF(L195="","",EDATE(L195,6))</f>
        <v>46356</v>
      </c>
    </row>
    <row r="196" spans="1:26" ht="112.15" x14ac:dyDescent="0.45">
      <c r="A196" s="81"/>
      <c r="B196" s="82" t="s">
        <v>402</v>
      </c>
      <c r="C196" s="99"/>
      <c r="D196" s="99"/>
      <c r="F196" s="100">
        <v>10406</v>
      </c>
      <c r="G196" s="101">
        <v>225</v>
      </c>
      <c r="H196" s="102"/>
      <c r="I196" s="84" t="b">
        <v>1</v>
      </c>
      <c r="J196" s="83" t="s">
        <v>16</v>
      </c>
      <c r="O196" s="85" t="b">
        <v>1</v>
      </c>
      <c r="P196" s="85" t="s">
        <v>16</v>
      </c>
    </row>
    <row r="197" spans="1:26" ht="112.15" x14ac:dyDescent="0.45">
      <c r="A197" s="81"/>
      <c r="B197" s="86" t="s">
        <v>403</v>
      </c>
      <c r="C197" s="103"/>
      <c r="D197" s="103"/>
      <c r="F197" s="104">
        <v>10407</v>
      </c>
      <c r="G197" s="105">
        <v>225</v>
      </c>
      <c r="H197" s="106" t="s">
        <v>404</v>
      </c>
      <c r="I197" s="84" t="b">
        <v>1</v>
      </c>
      <c r="J197" s="87">
        <v>46093</v>
      </c>
      <c r="O197" s="85" t="b">
        <v>1</v>
      </c>
      <c r="P197" s="96">
        <v>46277</v>
      </c>
    </row>
    <row r="198" spans="1:26" ht="112.15" x14ac:dyDescent="0.45">
      <c r="A198" s="81" t="s">
        <v>408</v>
      </c>
      <c r="B198" s="86" t="s">
        <v>403</v>
      </c>
      <c r="C198" s="103"/>
      <c r="D198" s="103"/>
      <c r="F198" s="104">
        <v>10408</v>
      </c>
      <c r="G198" s="105">
        <v>225</v>
      </c>
      <c r="H198" s="106" t="s">
        <v>404</v>
      </c>
      <c r="I198" s="84" t="b">
        <v>1</v>
      </c>
      <c r="J198" s="87">
        <v>46093</v>
      </c>
      <c r="O198" s="85" t="b">
        <v>1</v>
      </c>
      <c r="P198" s="96">
        <v>46277</v>
      </c>
    </row>
    <row r="199" spans="1:26" ht="112.15" x14ac:dyDescent="0.45">
      <c r="A199" s="81"/>
      <c r="B199" s="88" t="s">
        <v>405</v>
      </c>
      <c r="C199" s="88"/>
      <c r="D199" s="88"/>
      <c r="F199" s="88">
        <v>10409</v>
      </c>
      <c r="G199" s="89">
        <v>225</v>
      </c>
      <c r="I199" s="84" t="b">
        <v>1</v>
      </c>
      <c r="J199" s="87">
        <v>46113</v>
      </c>
      <c r="O199" s="85" t="b">
        <v>0</v>
      </c>
      <c r="P199" s="97">
        <v>46303</v>
      </c>
    </row>
    <row r="200" spans="1:26" ht="112.15" x14ac:dyDescent="0.45">
      <c r="A200" s="81"/>
      <c r="B200" s="90" t="s">
        <v>406</v>
      </c>
      <c r="C200" s="90"/>
      <c r="D200" s="90"/>
      <c r="F200" s="90">
        <v>10410</v>
      </c>
      <c r="G200" s="91">
        <v>225</v>
      </c>
      <c r="I200" s="93" t="b">
        <v>1</v>
      </c>
      <c r="J200" s="92">
        <v>46119</v>
      </c>
      <c r="O200" s="94" t="b">
        <v>0</v>
      </c>
      <c r="P200" s="98">
        <v>46302</v>
      </c>
    </row>
    <row r="201" spans="1:26" ht="112.15" x14ac:dyDescent="0.45">
      <c r="A201" s="81"/>
      <c r="B201" s="107" t="s">
        <v>407</v>
      </c>
      <c r="C201" s="81"/>
      <c r="D201" s="81"/>
      <c r="F201" s="90">
        <v>10411</v>
      </c>
      <c r="G201" s="81"/>
      <c r="I201" s="84" t="b">
        <v>1</v>
      </c>
      <c r="J201" s="87">
        <v>46134</v>
      </c>
      <c r="O201" s="85" t="b">
        <v>1</v>
      </c>
      <c r="P201" s="97">
        <v>46317</v>
      </c>
    </row>
    <row r="202" spans="1:26" ht="16.5" x14ac:dyDescent="0.45">
      <c r="A202" s="95"/>
      <c r="B202" s="10" t="s">
        <v>409</v>
      </c>
      <c r="F202" s="7">
        <v>1019</v>
      </c>
      <c r="G202" s="112">
        <v>225</v>
      </c>
      <c r="H202" s="10"/>
      <c r="I202" s="71" t="b">
        <v>1</v>
      </c>
      <c r="J202" s="76">
        <v>45935</v>
      </c>
      <c r="O202" s="72" t="b">
        <v>1</v>
      </c>
      <c r="P202" s="117" t="str">
        <f>IF(M202="","",EDATE(M202,6))</f>
        <v/>
      </c>
      <c r="Q202" s="95"/>
      <c r="R202" s="95"/>
      <c r="S202" s="95"/>
      <c r="T202" s="95"/>
      <c r="U202" s="95"/>
      <c r="V202" s="95"/>
      <c r="W202" s="95"/>
      <c r="X202" s="95"/>
      <c r="Y202" s="95"/>
      <c r="Z202" s="95"/>
    </row>
    <row r="203" spans="1:26" ht="16.5" x14ac:dyDescent="0.45">
      <c r="B203" s="108" t="s">
        <v>410</v>
      </c>
      <c r="F203" s="7">
        <v>1020</v>
      </c>
      <c r="G203" s="112">
        <v>225</v>
      </c>
      <c r="H203" s="10"/>
      <c r="I203" s="71" t="b">
        <v>1</v>
      </c>
      <c r="J203" s="76">
        <v>45935</v>
      </c>
      <c r="O203" s="72" t="b">
        <v>1</v>
      </c>
      <c r="P203" s="117" t="str">
        <f t="shared" ref="P202:P455" si="15">IF(M203="","",EDATE(M203,6))</f>
        <v/>
      </c>
    </row>
    <row r="204" spans="1:26" ht="16.5" x14ac:dyDescent="0.45">
      <c r="B204" s="10" t="s">
        <v>411</v>
      </c>
      <c r="F204" s="7">
        <v>1021</v>
      </c>
      <c r="G204" s="112">
        <v>225</v>
      </c>
      <c r="H204" s="10"/>
      <c r="I204" s="71" t="b">
        <v>1</v>
      </c>
      <c r="J204" s="76">
        <v>45936</v>
      </c>
      <c r="O204" s="72" t="b">
        <v>1</v>
      </c>
      <c r="P204" s="117" t="str">
        <f t="shared" si="15"/>
        <v/>
      </c>
    </row>
    <row r="205" spans="1:26" ht="16.5" x14ac:dyDescent="0.45">
      <c r="B205" s="108" t="s">
        <v>412</v>
      </c>
      <c r="F205" s="7">
        <v>1022</v>
      </c>
      <c r="G205" s="112">
        <v>225</v>
      </c>
      <c r="H205" s="10"/>
      <c r="I205" s="71" t="b">
        <v>1</v>
      </c>
      <c r="J205" s="76">
        <v>45936</v>
      </c>
      <c r="O205" s="72" t="b">
        <v>1</v>
      </c>
      <c r="P205" s="117" t="str">
        <f t="shared" si="15"/>
        <v/>
      </c>
    </row>
    <row r="206" spans="1:26" ht="16.5" x14ac:dyDescent="0.45">
      <c r="B206" s="10" t="s">
        <v>413</v>
      </c>
      <c r="F206" s="7">
        <v>1023</v>
      </c>
      <c r="G206" s="112">
        <v>225</v>
      </c>
      <c r="H206" s="10"/>
      <c r="I206" s="71" t="b">
        <v>1</v>
      </c>
      <c r="J206" s="76">
        <v>45937</v>
      </c>
      <c r="O206" s="72" t="b">
        <v>1</v>
      </c>
      <c r="P206" s="117" t="str">
        <f t="shared" si="15"/>
        <v/>
      </c>
    </row>
    <row r="207" spans="1:26" ht="16.5" x14ac:dyDescent="0.45">
      <c r="B207" s="10" t="s">
        <v>414</v>
      </c>
      <c r="F207" s="7">
        <v>1024</v>
      </c>
      <c r="G207" s="112">
        <v>225</v>
      </c>
      <c r="H207" s="10"/>
      <c r="I207" s="71" t="b">
        <v>1</v>
      </c>
      <c r="J207" s="76">
        <v>45938</v>
      </c>
      <c r="O207" s="72" t="b">
        <v>1</v>
      </c>
      <c r="P207" s="117" t="str">
        <f t="shared" si="15"/>
        <v/>
      </c>
    </row>
    <row r="208" spans="1:26" ht="16.5" x14ac:dyDescent="0.45">
      <c r="B208" s="10" t="s">
        <v>415</v>
      </c>
      <c r="F208" s="7">
        <v>1025</v>
      </c>
      <c r="G208" s="112">
        <v>225</v>
      </c>
      <c r="H208" s="10"/>
      <c r="I208" s="71" t="b">
        <v>1</v>
      </c>
      <c r="J208" s="76">
        <v>45939</v>
      </c>
      <c r="O208" s="72" t="b">
        <v>1</v>
      </c>
      <c r="P208" s="117" t="str">
        <f t="shared" si="15"/>
        <v/>
      </c>
    </row>
    <row r="209" spans="2:16" ht="33" x14ac:dyDescent="0.45">
      <c r="B209" s="10" t="s">
        <v>416</v>
      </c>
      <c r="F209" s="7">
        <v>1026</v>
      </c>
      <c r="G209" s="112">
        <v>225</v>
      </c>
      <c r="H209" s="10"/>
      <c r="I209" s="71" t="b">
        <v>1</v>
      </c>
      <c r="J209" s="76">
        <v>45940</v>
      </c>
      <c r="O209" s="72" t="b">
        <v>1</v>
      </c>
      <c r="P209" s="117" t="str">
        <f t="shared" si="15"/>
        <v/>
      </c>
    </row>
    <row r="210" spans="2:16" ht="16.5" x14ac:dyDescent="0.45">
      <c r="B210" s="10" t="s">
        <v>417</v>
      </c>
      <c r="F210" s="7">
        <v>1027</v>
      </c>
      <c r="G210" s="112">
        <v>225</v>
      </c>
      <c r="H210" s="10"/>
      <c r="I210" s="71" t="b">
        <v>1</v>
      </c>
      <c r="J210" s="76">
        <v>45941</v>
      </c>
      <c r="O210" s="72" t="b">
        <v>1</v>
      </c>
      <c r="P210" s="117" t="str">
        <f t="shared" si="15"/>
        <v/>
      </c>
    </row>
    <row r="211" spans="2:16" ht="16.5" x14ac:dyDescent="0.45">
      <c r="B211" s="10" t="s">
        <v>418</v>
      </c>
      <c r="F211" s="7">
        <v>1028</v>
      </c>
      <c r="G211" s="112">
        <v>225</v>
      </c>
      <c r="H211" s="10"/>
      <c r="I211" s="71" t="b">
        <v>1</v>
      </c>
      <c r="J211" s="76">
        <v>45942</v>
      </c>
      <c r="O211" s="72" t="b">
        <v>0</v>
      </c>
      <c r="P211" s="117" t="str">
        <f t="shared" si="15"/>
        <v/>
      </c>
    </row>
    <row r="212" spans="2:16" ht="16.5" x14ac:dyDescent="0.45">
      <c r="B212" s="10" t="s">
        <v>419</v>
      </c>
      <c r="F212" s="7">
        <v>1029</v>
      </c>
      <c r="G212" s="112">
        <v>225</v>
      </c>
      <c r="H212" s="10"/>
      <c r="I212" s="71" t="b">
        <v>1</v>
      </c>
      <c r="J212" s="76">
        <v>45944</v>
      </c>
      <c r="O212" s="72" t="b">
        <v>1</v>
      </c>
      <c r="P212" s="117" t="str">
        <f t="shared" si="15"/>
        <v/>
      </c>
    </row>
    <row r="213" spans="2:16" ht="16.5" x14ac:dyDescent="0.45">
      <c r="B213" s="10" t="s">
        <v>420</v>
      </c>
      <c r="F213" s="7">
        <v>1030</v>
      </c>
      <c r="G213" s="112">
        <v>225</v>
      </c>
      <c r="H213" s="10"/>
      <c r="I213" s="71" t="b">
        <v>1</v>
      </c>
      <c r="J213" s="76">
        <v>45944</v>
      </c>
      <c r="O213" s="72" t="b">
        <v>1</v>
      </c>
      <c r="P213" s="117" t="str">
        <f t="shared" si="15"/>
        <v/>
      </c>
    </row>
    <row r="214" spans="2:16" ht="16.5" x14ac:dyDescent="0.45">
      <c r="B214" s="10" t="s">
        <v>421</v>
      </c>
      <c r="F214" s="7">
        <v>1031</v>
      </c>
      <c r="G214" s="112">
        <v>225</v>
      </c>
      <c r="H214" s="10"/>
      <c r="I214" s="71" t="b">
        <v>1</v>
      </c>
      <c r="J214" s="76">
        <v>45944</v>
      </c>
      <c r="O214" s="72" t="b">
        <v>1</v>
      </c>
      <c r="P214" s="117" t="str">
        <f t="shared" si="15"/>
        <v/>
      </c>
    </row>
    <row r="215" spans="2:16" ht="16.5" x14ac:dyDescent="0.45">
      <c r="B215" s="10" t="s">
        <v>422</v>
      </c>
      <c r="F215" s="7">
        <v>1032</v>
      </c>
      <c r="G215" s="112">
        <v>225</v>
      </c>
      <c r="H215" s="10"/>
      <c r="I215" s="71" t="b">
        <v>1</v>
      </c>
      <c r="J215" s="76">
        <v>45944</v>
      </c>
      <c r="O215" s="72" t="b">
        <v>1</v>
      </c>
      <c r="P215" s="117" t="str">
        <f t="shared" si="15"/>
        <v/>
      </c>
    </row>
    <row r="216" spans="2:16" ht="16.5" x14ac:dyDescent="0.45">
      <c r="B216" s="10" t="s">
        <v>423</v>
      </c>
      <c r="F216" s="7">
        <v>1033</v>
      </c>
      <c r="G216" s="112">
        <v>225</v>
      </c>
      <c r="H216" s="10"/>
      <c r="I216" s="71" t="b">
        <v>1</v>
      </c>
      <c r="J216" s="76">
        <v>45944</v>
      </c>
      <c r="O216" s="72" t="b">
        <v>1</v>
      </c>
      <c r="P216" s="117" t="str">
        <f t="shared" si="15"/>
        <v/>
      </c>
    </row>
    <row r="217" spans="2:16" ht="16.5" x14ac:dyDescent="0.45">
      <c r="B217" s="10" t="s">
        <v>424</v>
      </c>
      <c r="F217" s="7">
        <v>1034</v>
      </c>
      <c r="G217" s="112">
        <v>225</v>
      </c>
      <c r="H217" s="10"/>
      <c r="I217" s="71" t="b">
        <v>1</v>
      </c>
      <c r="J217" s="76">
        <v>45944</v>
      </c>
      <c r="O217" s="72" t="b">
        <v>0</v>
      </c>
      <c r="P217" s="117" t="str">
        <f t="shared" si="15"/>
        <v/>
      </c>
    </row>
    <row r="218" spans="2:16" ht="16.5" x14ac:dyDescent="0.45">
      <c r="B218" s="10" t="s">
        <v>425</v>
      </c>
      <c r="F218" s="7">
        <v>1035</v>
      </c>
      <c r="G218" s="112">
        <v>225</v>
      </c>
      <c r="H218" s="10"/>
      <c r="I218" s="71" t="b">
        <v>1</v>
      </c>
      <c r="J218" s="76">
        <v>45946</v>
      </c>
      <c r="O218" s="72" t="b">
        <v>1</v>
      </c>
      <c r="P218" s="117" t="str">
        <f t="shared" si="15"/>
        <v/>
      </c>
    </row>
    <row r="219" spans="2:16" ht="16.5" x14ac:dyDescent="0.45">
      <c r="B219" s="10" t="s">
        <v>426</v>
      </c>
      <c r="F219" s="7">
        <v>1036</v>
      </c>
      <c r="G219" s="112">
        <v>225</v>
      </c>
      <c r="H219" s="10"/>
      <c r="I219" s="71" t="b">
        <v>1</v>
      </c>
      <c r="J219" s="76">
        <v>45947</v>
      </c>
      <c r="O219" s="72" t="b">
        <v>0</v>
      </c>
      <c r="P219" s="117" t="str">
        <f t="shared" si="15"/>
        <v/>
      </c>
    </row>
    <row r="220" spans="2:16" ht="16.5" x14ac:dyDescent="0.45">
      <c r="B220" s="10" t="s">
        <v>427</v>
      </c>
      <c r="F220" s="7">
        <v>1037</v>
      </c>
      <c r="G220" s="112">
        <v>225</v>
      </c>
      <c r="H220" s="10"/>
      <c r="I220" s="71" t="b">
        <v>1</v>
      </c>
      <c r="J220" s="76">
        <v>45948</v>
      </c>
      <c r="O220" s="72" t="b">
        <v>1</v>
      </c>
      <c r="P220" s="117" t="str">
        <f t="shared" si="15"/>
        <v/>
      </c>
    </row>
    <row r="221" spans="2:16" ht="16.5" x14ac:dyDescent="0.45">
      <c r="B221" s="10" t="s">
        <v>428</v>
      </c>
      <c r="F221" s="7">
        <v>1038</v>
      </c>
      <c r="G221" s="112">
        <v>225</v>
      </c>
      <c r="H221" s="10"/>
      <c r="I221" s="71" t="b">
        <v>1</v>
      </c>
      <c r="J221" s="76">
        <v>45950</v>
      </c>
      <c r="O221" s="72" t="b">
        <v>1</v>
      </c>
      <c r="P221" s="117" t="str">
        <f t="shared" si="15"/>
        <v/>
      </c>
    </row>
    <row r="222" spans="2:16" ht="16.5" x14ac:dyDescent="0.45">
      <c r="B222" s="10" t="s">
        <v>429</v>
      </c>
      <c r="F222" s="7">
        <v>1039</v>
      </c>
      <c r="G222" s="112">
        <v>225</v>
      </c>
      <c r="H222" s="10"/>
      <c r="I222" s="71" t="b">
        <v>1</v>
      </c>
      <c r="J222" s="76">
        <v>45952</v>
      </c>
      <c r="O222" s="72" t="b">
        <v>0</v>
      </c>
      <c r="P222" s="117" t="str">
        <f t="shared" si="15"/>
        <v/>
      </c>
    </row>
    <row r="223" spans="2:16" ht="16.5" x14ac:dyDescent="0.45">
      <c r="B223" s="10" t="s">
        <v>430</v>
      </c>
      <c r="F223" s="7">
        <v>1040</v>
      </c>
      <c r="G223" s="112">
        <v>225</v>
      </c>
      <c r="H223" s="10"/>
      <c r="I223" s="71" t="b">
        <v>1</v>
      </c>
      <c r="J223" s="76">
        <v>45953</v>
      </c>
      <c r="O223" s="72" t="b">
        <v>1</v>
      </c>
      <c r="P223" s="117" t="str">
        <f t="shared" si="15"/>
        <v/>
      </c>
    </row>
    <row r="224" spans="2:16" ht="16.5" x14ac:dyDescent="0.45">
      <c r="B224" s="10" t="s">
        <v>431</v>
      </c>
      <c r="F224" s="7">
        <v>1041</v>
      </c>
      <c r="G224" s="112">
        <v>225</v>
      </c>
      <c r="H224" s="10"/>
      <c r="I224" s="71" t="b">
        <v>1</v>
      </c>
      <c r="J224" s="76">
        <v>45954</v>
      </c>
      <c r="O224" s="72" t="b">
        <v>1</v>
      </c>
      <c r="P224" s="117" t="str">
        <f t="shared" si="15"/>
        <v/>
      </c>
    </row>
    <row r="225" spans="2:16" ht="16.5" x14ac:dyDescent="0.45">
      <c r="B225" s="10" t="s">
        <v>432</v>
      </c>
      <c r="F225" s="7">
        <v>1042</v>
      </c>
      <c r="G225" s="112">
        <v>225</v>
      </c>
      <c r="H225" s="10"/>
      <c r="I225" s="71" t="b">
        <v>1</v>
      </c>
      <c r="J225" s="76">
        <v>45956</v>
      </c>
      <c r="O225" s="72" t="b">
        <v>1</v>
      </c>
      <c r="P225" s="117" t="str">
        <f t="shared" si="15"/>
        <v/>
      </c>
    </row>
    <row r="226" spans="2:16" ht="16.5" x14ac:dyDescent="0.45">
      <c r="B226" s="10" t="s">
        <v>433</v>
      </c>
      <c r="F226" s="7">
        <v>1043</v>
      </c>
      <c r="G226" s="112">
        <v>225</v>
      </c>
      <c r="H226" s="10"/>
      <c r="I226" s="71" t="b">
        <v>1</v>
      </c>
      <c r="J226" s="76">
        <v>45957</v>
      </c>
      <c r="O226" s="72" t="b">
        <v>0</v>
      </c>
      <c r="P226" s="117" t="str">
        <f t="shared" si="15"/>
        <v/>
      </c>
    </row>
    <row r="227" spans="2:16" ht="16.5" x14ac:dyDescent="0.45">
      <c r="B227" s="10" t="s">
        <v>434</v>
      </c>
      <c r="F227" s="7">
        <v>1044</v>
      </c>
      <c r="G227" s="112">
        <v>225</v>
      </c>
      <c r="H227" s="10"/>
      <c r="I227" s="71" t="b">
        <v>1</v>
      </c>
      <c r="J227" s="76">
        <v>45957</v>
      </c>
      <c r="O227" s="72" t="b">
        <v>1</v>
      </c>
      <c r="P227" s="117" t="str">
        <f t="shared" si="15"/>
        <v/>
      </c>
    </row>
    <row r="228" spans="2:16" ht="16.5" x14ac:dyDescent="0.45">
      <c r="B228" s="10" t="s">
        <v>435</v>
      </c>
      <c r="F228" s="7">
        <v>1045</v>
      </c>
      <c r="G228" s="112">
        <v>225</v>
      </c>
      <c r="H228" s="10"/>
      <c r="I228" s="71" t="b">
        <v>1</v>
      </c>
      <c r="J228" s="76">
        <v>45958</v>
      </c>
      <c r="O228" s="72" t="b">
        <v>1</v>
      </c>
      <c r="P228" s="117" t="str">
        <f t="shared" si="15"/>
        <v/>
      </c>
    </row>
    <row r="229" spans="2:16" ht="16.5" x14ac:dyDescent="0.45">
      <c r="B229" s="10" t="s">
        <v>436</v>
      </c>
      <c r="F229" s="7">
        <v>1046</v>
      </c>
      <c r="G229" s="112">
        <v>225</v>
      </c>
      <c r="H229" s="10"/>
      <c r="I229" s="71" t="b">
        <v>1</v>
      </c>
      <c r="J229" s="76">
        <v>45959</v>
      </c>
      <c r="O229" s="72" t="b">
        <v>1</v>
      </c>
      <c r="P229" s="117" t="str">
        <f t="shared" si="15"/>
        <v/>
      </c>
    </row>
    <row r="230" spans="2:16" ht="16.5" x14ac:dyDescent="0.45">
      <c r="B230" s="10" t="s">
        <v>437</v>
      </c>
      <c r="F230" s="7">
        <v>1047</v>
      </c>
      <c r="G230" s="112">
        <v>225</v>
      </c>
      <c r="H230" s="10"/>
      <c r="I230" s="71" t="b">
        <v>1</v>
      </c>
      <c r="J230" s="76">
        <v>45959</v>
      </c>
      <c r="O230" s="72" t="b">
        <v>1</v>
      </c>
      <c r="P230" s="117" t="str">
        <f t="shared" si="15"/>
        <v/>
      </c>
    </row>
    <row r="231" spans="2:16" ht="16.899999999999999" x14ac:dyDescent="0.8">
      <c r="B231" s="73" t="s">
        <v>438</v>
      </c>
      <c r="F231" s="7">
        <v>1048</v>
      </c>
      <c r="G231" s="112">
        <v>225</v>
      </c>
      <c r="H231" s="10"/>
      <c r="I231" s="71" t="b">
        <v>1</v>
      </c>
      <c r="J231" s="76">
        <v>45959</v>
      </c>
      <c r="O231" s="72" t="b">
        <v>0</v>
      </c>
      <c r="P231" s="117" t="str">
        <f t="shared" si="15"/>
        <v/>
      </c>
    </row>
    <row r="232" spans="2:16" ht="16.899999999999999" x14ac:dyDescent="0.8">
      <c r="B232" s="73" t="s">
        <v>439</v>
      </c>
      <c r="F232" s="7">
        <v>1049</v>
      </c>
      <c r="G232" s="112">
        <v>225</v>
      </c>
      <c r="H232" s="10"/>
      <c r="I232" s="71" t="b">
        <v>1</v>
      </c>
      <c r="J232" s="76">
        <v>45963</v>
      </c>
      <c r="O232" s="72" t="b">
        <v>1</v>
      </c>
      <c r="P232" s="117" t="str">
        <f t="shared" si="15"/>
        <v/>
      </c>
    </row>
    <row r="233" spans="2:16" ht="16.899999999999999" x14ac:dyDescent="0.8">
      <c r="B233" s="73" t="s">
        <v>440</v>
      </c>
      <c r="F233" s="7">
        <v>1050</v>
      </c>
      <c r="G233" s="112">
        <v>225</v>
      </c>
      <c r="H233" s="10"/>
      <c r="I233" s="71" t="b">
        <v>1</v>
      </c>
      <c r="J233" s="76">
        <v>45964</v>
      </c>
      <c r="O233" s="72" t="b">
        <v>1</v>
      </c>
      <c r="P233" s="117" t="str">
        <f t="shared" si="15"/>
        <v/>
      </c>
    </row>
    <row r="234" spans="2:16" ht="16.899999999999999" x14ac:dyDescent="0.8">
      <c r="B234" s="73" t="s">
        <v>441</v>
      </c>
      <c r="F234" s="7">
        <v>1051</v>
      </c>
      <c r="G234" s="112">
        <v>225</v>
      </c>
      <c r="H234" s="10"/>
      <c r="I234" s="71" t="b">
        <v>1</v>
      </c>
      <c r="J234" s="76">
        <v>45966</v>
      </c>
      <c r="O234" s="72" t="b">
        <v>1</v>
      </c>
      <c r="P234" s="117" t="str">
        <f t="shared" si="15"/>
        <v/>
      </c>
    </row>
    <row r="235" spans="2:16" ht="16.899999999999999" x14ac:dyDescent="0.8">
      <c r="B235" s="73" t="s">
        <v>442</v>
      </c>
      <c r="F235" s="7">
        <v>1052</v>
      </c>
      <c r="G235" s="112">
        <v>225</v>
      </c>
      <c r="H235" s="10"/>
      <c r="I235" s="71" t="b">
        <v>1</v>
      </c>
      <c r="J235" s="76">
        <v>45966</v>
      </c>
      <c r="O235" s="72" t="b">
        <v>1</v>
      </c>
      <c r="P235" s="117" t="str">
        <f t="shared" si="15"/>
        <v/>
      </c>
    </row>
    <row r="236" spans="2:16" ht="16.899999999999999" x14ac:dyDescent="0.8">
      <c r="B236" s="73" t="s">
        <v>443</v>
      </c>
      <c r="F236" s="7">
        <v>1053</v>
      </c>
      <c r="G236" s="112">
        <v>225</v>
      </c>
      <c r="H236" s="10"/>
      <c r="I236" s="71" t="b">
        <v>1</v>
      </c>
      <c r="J236" s="76">
        <v>45966</v>
      </c>
      <c r="O236" s="72" t="b">
        <v>1</v>
      </c>
      <c r="P236" s="117" t="str">
        <f t="shared" si="15"/>
        <v/>
      </c>
    </row>
    <row r="237" spans="2:16" ht="16.899999999999999" x14ac:dyDescent="0.8">
      <c r="B237" s="73" t="s">
        <v>444</v>
      </c>
      <c r="F237" s="7">
        <v>1054</v>
      </c>
      <c r="G237" s="112">
        <v>225</v>
      </c>
      <c r="H237" s="10"/>
      <c r="I237" s="71" t="b">
        <v>1</v>
      </c>
      <c r="J237" s="76">
        <v>45967</v>
      </c>
      <c r="O237" s="72" t="b">
        <v>1</v>
      </c>
      <c r="P237" s="117" t="str">
        <f t="shared" si="15"/>
        <v/>
      </c>
    </row>
    <row r="238" spans="2:16" ht="16.899999999999999" x14ac:dyDescent="0.8">
      <c r="B238" s="73" t="s">
        <v>445</v>
      </c>
      <c r="F238" s="7">
        <v>1055</v>
      </c>
      <c r="G238" s="112">
        <v>225</v>
      </c>
      <c r="H238" s="10"/>
      <c r="I238" s="71" t="b">
        <v>1</v>
      </c>
      <c r="J238" s="76">
        <v>45968</v>
      </c>
      <c r="O238" s="72" t="b">
        <v>1</v>
      </c>
      <c r="P238" s="117" t="str">
        <f t="shared" si="15"/>
        <v/>
      </c>
    </row>
    <row r="239" spans="2:16" ht="16.899999999999999" x14ac:dyDescent="0.8">
      <c r="B239" s="73" t="s">
        <v>446</v>
      </c>
      <c r="F239" s="7">
        <v>1056</v>
      </c>
      <c r="G239" s="112">
        <v>225</v>
      </c>
      <c r="H239" s="10"/>
      <c r="I239" s="71" t="b">
        <v>1</v>
      </c>
      <c r="J239" s="76">
        <v>45970</v>
      </c>
      <c r="O239" s="72" t="b">
        <v>1</v>
      </c>
      <c r="P239" s="117" t="str">
        <f t="shared" si="15"/>
        <v/>
      </c>
    </row>
    <row r="240" spans="2:16" ht="16.899999999999999" x14ac:dyDescent="0.8">
      <c r="B240" s="73" t="s">
        <v>447</v>
      </c>
      <c r="F240" s="7">
        <v>1057</v>
      </c>
      <c r="G240" s="112">
        <v>225</v>
      </c>
      <c r="H240" s="10"/>
      <c r="I240" s="71" t="b">
        <v>1</v>
      </c>
      <c r="J240" s="76">
        <v>45970</v>
      </c>
      <c r="O240" s="72" t="b">
        <v>1</v>
      </c>
      <c r="P240" s="117" t="str">
        <f t="shared" si="15"/>
        <v/>
      </c>
    </row>
    <row r="241" spans="2:16" ht="16.5" x14ac:dyDescent="0.45">
      <c r="B241" s="10" t="s">
        <v>448</v>
      </c>
      <c r="F241" s="7">
        <v>1058</v>
      </c>
      <c r="G241" s="112">
        <v>225</v>
      </c>
      <c r="H241" s="10"/>
      <c r="I241" s="71" t="b">
        <v>1</v>
      </c>
      <c r="J241" s="76">
        <v>45972</v>
      </c>
      <c r="O241" s="72" t="b">
        <v>1</v>
      </c>
      <c r="P241" s="117" t="str">
        <f t="shared" si="15"/>
        <v/>
      </c>
    </row>
    <row r="242" spans="2:16" ht="16.5" x14ac:dyDescent="0.45">
      <c r="B242" s="10" t="s">
        <v>449</v>
      </c>
      <c r="F242" s="7">
        <v>1059</v>
      </c>
      <c r="G242" s="112">
        <v>225</v>
      </c>
      <c r="H242" s="10"/>
      <c r="I242" s="71" t="b">
        <v>1</v>
      </c>
      <c r="J242" s="76">
        <v>45973</v>
      </c>
      <c r="O242" s="72" t="b">
        <v>1</v>
      </c>
      <c r="P242" s="117" t="str">
        <f t="shared" si="15"/>
        <v/>
      </c>
    </row>
    <row r="243" spans="2:16" ht="16.5" x14ac:dyDescent="0.45">
      <c r="B243" s="10" t="s">
        <v>450</v>
      </c>
      <c r="F243" s="7">
        <v>1060</v>
      </c>
      <c r="G243" s="112">
        <v>225</v>
      </c>
      <c r="H243" s="10"/>
      <c r="I243" s="71" t="b">
        <v>1</v>
      </c>
      <c r="J243" s="76">
        <v>45973</v>
      </c>
      <c r="O243" s="72" t="b">
        <v>0</v>
      </c>
      <c r="P243" s="117" t="str">
        <f t="shared" si="15"/>
        <v/>
      </c>
    </row>
    <row r="244" spans="2:16" ht="16.5" x14ac:dyDescent="0.45">
      <c r="B244" s="10" t="s">
        <v>451</v>
      </c>
      <c r="F244" s="7">
        <v>1061</v>
      </c>
      <c r="G244" s="112">
        <v>225</v>
      </c>
      <c r="H244" s="10"/>
      <c r="I244" s="71" t="b">
        <v>1</v>
      </c>
      <c r="J244" s="76">
        <v>45974</v>
      </c>
      <c r="O244" s="72" t="b">
        <v>0</v>
      </c>
      <c r="P244" s="117" t="str">
        <f t="shared" si="15"/>
        <v/>
      </c>
    </row>
    <row r="245" spans="2:16" ht="16.899999999999999" x14ac:dyDescent="0.8">
      <c r="B245" s="109" t="s">
        <v>452</v>
      </c>
      <c r="F245" s="73">
        <v>1062</v>
      </c>
      <c r="G245" s="112">
        <v>225</v>
      </c>
      <c r="H245" s="10"/>
      <c r="I245" s="71" t="b">
        <v>1</v>
      </c>
      <c r="J245" s="113">
        <v>45974</v>
      </c>
      <c r="O245" s="72" t="b">
        <v>1</v>
      </c>
      <c r="P245" s="117" t="str">
        <f t="shared" si="15"/>
        <v/>
      </c>
    </row>
    <row r="246" spans="2:16" ht="16.899999999999999" x14ac:dyDescent="0.8">
      <c r="B246" s="109" t="s">
        <v>453</v>
      </c>
      <c r="F246" s="73">
        <v>1063</v>
      </c>
      <c r="G246" s="112">
        <v>225</v>
      </c>
      <c r="H246" s="10"/>
      <c r="I246" s="71" t="b">
        <v>1</v>
      </c>
      <c r="J246" s="113">
        <v>45979</v>
      </c>
      <c r="O246" s="72" t="b">
        <v>1</v>
      </c>
      <c r="P246" s="117" t="str">
        <f t="shared" si="15"/>
        <v/>
      </c>
    </row>
    <row r="247" spans="2:16" ht="16.899999999999999" x14ac:dyDescent="0.8">
      <c r="B247" s="109" t="s">
        <v>454</v>
      </c>
      <c r="F247" s="73">
        <v>1064</v>
      </c>
      <c r="G247" s="112">
        <v>225</v>
      </c>
      <c r="H247" s="10"/>
      <c r="I247" s="71" t="b">
        <v>1</v>
      </c>
      <c r="J247" s="113">
        <v>45981</v>
      </c>
      <c r="O247" s="72" t="b">
        <v>1</v>
      </c>
      <c r="P247" s="117" t="str">
        <f t="shared" si="15"/>
        <v/>
      </c>
    </row>
    <row r="248" spans="2:16" ht="16.899999999999999" x14ac:dyDescent="0.8">
      <c r="B248" s="109" t="s">
        <v>455</v>
      </c>
      <c r="F248" s="73">
        <v>1065</v>
      </c>
      <c r="G248" s="112">
        <v>225</v>
      </c>
      <c r="H248" s="10"/>
      <c r="I248" s="71" t="b">
        <v>1</v>
      </c>
      <c r="J248" s="113">
        <v>45986</v>
      </c>
      <c r="O248" s="72" t="b">
        <v>1</v>
      </c>
      <c r="P248" s="117" t="str">
        <f t="shared" si="15"/>
        <v/>
      </c>
    </row>
    <row r="249" spans="2:16" ht="16.899999999999999" x14ac:dyDescent="0.8">
      <c r="B249" s="109" t="s">
        <v>456</v>
      </c>
      <c r="F249" s="73">
        <v>1066</v>
      </c>
      <c r="G249" s="112">
        <v>225</v>
      </c>
      <c r="H249" s="10"/>
      <c r="I249" s="71" t="b">
        <v>1</v>
      </c>
      <c r="J249" s="113">
        <v>45987</v>
      </c>
      <c r="O249" s="72" t="b">
        <v>0</v>
      </c>
      <c r="P249" s="117" t="str">
        <f t="shared" si="15"/>
        <v/>
      </c>
    </row>
    <row r="250" spans="2:16" ht="16.899999999999999" x14ac:dyDescent="0.8">
      <c r="B250" s="109" t="s">
        <v>457</v>
      </c>
      <c r="F250" s="73">
        <v>1067</v>
      </c>
      <c r="G250" s="112">
        <v>225</v>
      </c>
      <c r="H250" s="10"/>
      <c r="I250" s="71" t="b">
        <v>1</v>
      </c>
      <c r="J250" s="113">
        <v>45987</v>
      </c>
      <c r="O250" s="72" t="b">
        <v>1</v>
      </c>
      <c r="P250" s="117" t="str">
        <f t="shared" si="15"/>
        <v/>
      </c>
    </row>
    <row r="251" spans="2:16" ht="16.899999999999999" x14ac:dyDescent="0.8">
      <c r="B251" s="73" t="s">
        <v>458</v>
      </c>
      <c r="F251" s="7">
        <v>1068</v>
      </c>
      <c r="G251" s="112">
        <v>225</v>
      </c>
      <c r="H251" s="10"/>
      <c r="I251" s="71" t="b">
        <v>1</v>
      </c>
      <c r="J251" s="76">
        <v>45989</v>
      </c>
      <c r="O251" s="72" t="b">
        <v>1</v>
      </c>
      <c r="P251" s="117" t="str">
        <f t="shared" si="15"/>
        <v/>
      </c>
    </row>
    <row r="252" spans="2:16" ht="16.899999999999999" x14ac:dyDescent="0.8">
      <c r="B252" s="73" t="s">
        <v>459</v>
      </c>
      <c r="F252" s="7">
        <v>1069</v>
      </c>
      <c r="G252" s="112">
        <v>225</v>
      </c>
      <c r="H252" s="10"/>
      <c r="I252" s="71" t="b">
        <v>1</v>
      </c>
      <c r="J252" s="76">
        <v>45992</v>
      </c>
      <c r="O252" s="72" t="b">
        <v>0</v>
      </c>
      <c r="P252" s="117" t="str">
        <f t="shared" si="15"/>
        <v/>
      </c>
    </row>
    <row r="253" spans="2:16" ht="16.899999999999999" x14ac:dyDescent="0.8">
      <c r="B253" s="73" t="s">
        <v>460</v>
      </c>
      <c r="F253" s="7">
        <v>1070</v>
      </c>
      <c r="G253" s="112">
        <v>225</v>
      </c>
      <c r="H253" s="10"/>
      <c r="I253" s="71" t="b">
        <v>1</v>
      </c>
      <c r="J253" s="76">
        <v>45993</v>
      </c>
      <c r="O253" s="72" t="b">
        <v>1</v>
      </c>
      <c r="P253" s="117" t="str">
        <f t="shared" si="15"/>
        <v/>
      </c>
    </row>
    <row r="254" spans="2:16" ht="16.899999999999999" x14ac:dyDescent="0.8">
      <c r="B254" s="73" t="s">
        <v>461</v>
      </c>
      <c r="F254" s="7">
        <v>1072</v>
      </c>
      <c r="G254" s="112">
        <v>225</v>
      </c>
      <c r="H254" s="10"/>
      <c r="I254" s="71" t="b">
        <v>1</v>
      </c>
      <c r="J254" s="76">
        <v>45995</v>
      </c>
      <c r="O254" s="72" t="b">
        <v>1</v>
      </c>
      <c r="P254" s="117" t="str">
        <f t="shared" si="15"/>
        <v/>
      </c>
    </row>
    <row r="255" spans="2:16" ht="16.899999999999999" x14ac:dyDescent="0.8">
      <c r="B255" s="73" t="s">
        <v>462</v>
      </c>
      <c r="F255" s="7">
        <v>1073</v>
      </c>
      <c r="G255" s="112">
        <v>225</v>
      </c>
      <c r="H255" s="10"/>
      <c r="I255" s="71" t="b">
        <v>1</v>
      </c>
      <c r="J255" s="76">
        <v>45996</v>
      </c>
      <c r="O255" s="72" t="b">
        <v>1</v>
      </c>
      <c r="P255" s="117" t="str">
        <f t="shared" si="15"/>
        <v/>
      </c>
    </row>
    <row r="256" spans="2:16" ht="16.899999999999999" x14ac:dyDescent="0.8">
      <c r="B256" s="73" t="s">
        <v>463</v>
      </c>
      <c r="F256" s="7">
        <v>1074</v>
      </c>
      <c r="G256" s="112">
        <v>225</v>
      </c>
      <c r="H256" s="10"/>
      <c r="I256" s="71" t="b">
        <v>1</v>
      </c>
      <c r="J256" s="76">
        <v>45996</v>
      </c>
      <c r="O256" s="72" t="b">
        <v>1</v>
      </c>
      <c r="P256" s="117" t="str">
        <f t="shared" si="15"/>
        <v/>
      </c>
    </row>
    <row r="257" spans="2:16" ht="16.899999999999999" x14ac:dyDescent="0.8">
      <c r="B257" s="73" t="s">
        <v>464</v>
      </c>
      <c r="F257" s="7">
        <v>1075</v>
      </c>
      <c r="G257" s="112">
        <v>225</v>
      </c>
      <c r="H257" s="10"/>
      <c r="I257" s="71" t="b">
        <v>1</v>
      </c>
      <c r="J257" s="76">
        <v>45996</v>
      </c>
      <c r="O257" s="72" t="b">
        <v>1</v>
      </c>
      <c r="P257" s="117" t="str">
        <f t="shared" si="15"/>
        <v/>
      </c>
    </row>
    <row r="258" spans="2:16" ht="16.899999999999999" x14ac:dyDescent="0.8">
      <c r="B258" s="73" t="s">
        <v>465</v>
      </c>
      <c r="F258" s="7">
        <v>1076</v>
      </c>
      <c r="G258" s="112">
        <v>225</v>
      </c>
      <c r="H258" s="10"/>
      <c r="I258" s="71" t="b">
        <v>1</v>
      </c>
      <c r="J258" s="76">
        <v>45996</v>
      </c>
      <c r="O258" s="72" t="b">
        <v>0</v>
      </c>
      <c r="P258" s="117" t="str">
        <f t="shared" si="15"/>
        <v/>
      </c>
    </row>
    <row r="259" spans="2:16" ht="16.899999999999999" x14ac:dyDescent="0.8">
      <c r="B259" s="73" t="s">
        <v>466</v>
      </c>
      <c r="F259" s="7">
        <v>1077</v>
      </c>
      <c r="G259" s="112">
        <v>225</v>
      </c>
      <c r="H259" s="10"/>
      <c r="I259" s="71" t="b">
        <v>1</v>
      </c>
      <c r="J259" s="76">
        <v>45998</v>
      </c>
      <c r="O259" s="72" t="b">
        <v>0</v>
      </c>
      <c r="P259" s="117" t="str">
        <f t="shared" si="15"/>
        <v/>
      </c>
    </row>
    <row r="260" spans="2:16" ht="16.899999999999999" x14ac:dyDescent="0.8">
      <c r="B260" s="73" t="s">
        <v>467</v>
      </c>
      <c r="F260" s="7">
        <v>1078</v>
      </c>
      <c r="G260" s="112">
        <v>225</v>
      </c>
      <c r="H260" s="10"/>
      <c r="I260" s="71" t="b">
        <v>1</v>
      </c>
      <c r="J260" s="76">
        <v>45998</v>
      </c>
      <c r="O260" s="72" t="b">
        <v>1</v>
      </c>
      <c r="P260" s="117" t="str">
        <f t="shared" si="15"/>
        <v/>
      </c>
    </row>
    <row r="261" spans="2:16" ht="16.899999999999999" x14ac:dyDescent="0.8">
      <c r="B261" s="73" t="s">
        <v>468</v>
      </c>
      <c r="F261" s="7">
        <v>1079</v>
      </c>
      <c r="G261" s="112">
        <v>225</v>
      </c>
      <c r="H261" s="10"/>
      <c r="I261" s="71" t="b">
        <v>1</v>
      </c>
      <c r="J261" s="76">
        <v>45999</v>
      </c>
      <c r="O261" s="72" t="b">
        <v>1</v>
      </c>
      <c r="P261" s="117" t="str">
        <f t="shared" si="15"/>
        <v/>
      </c>
    </row>
    <row r="262" spans="2:16" ht="16.899999999999999" x14ac:dyDescent="0.8">
      <c r="B262" s="73" t="s">
        <v>469</v>
      </c>
      <c r="F262" s="7">
        <v>1080</v>
      </c>
      <c r="G262" s="112">
        <v>225</v>
      </c>
      <c r="H262" s="10"/>
      <c r="I262" s="71" t="b">
        <v>1</v>
      </c>
      <c r="J262" s="76">
        <v>46000</v>
      </c>
      <c r="O262" s="72" t="b">
        <v>1</v>
      </c>
      <c r="P262" s="117" t="str">
        <f t="shared" si="15"/>
        <v/>
      </c>
    </row>
    <row r="263" spans="2:16" ht="16.899999999999999" x14ac:dyDescent="0.8">
      <c r="B263" s="73" t="s">
        <v>470</v>
      </c>
      <c r="F263" s="7">
        <v>1081</v>
      </c>
      <c r="G263" s="112">
        <v>225</v>
      </c>
      <c r="H263" s="10"/>
      <c r="I263" s="71" t="b">
        <v>1</v>
      </c>
      <c r="J263" s="76">
        <v>46000</v>
      </c>
      <c r="O263" s="72" t="b">
        <v>1</v>
      </c>
      <c r="P263" s="117" t="str">
        <f t="shared" si="15"/>
        <v/>
      </c>
    </row>
    <row r="264" spans="2:16" ht="16.899999999999999" x14ac:dyDescent="0.8">
      <c r="B264" s="73" t="s">
        <v>471</v>
      </c>
      <c r="F264" s="7">
        <v>1082</v>
      </c>
      <c r="G264" s="112">
        <v>225</v>
      </c>
      <c r="H264" s="10"/>
      <c r="I264" s="71" t="b">
        <v>1</v>
      </c>
      <c r="J264" s="76">
        <v>46001</v>
      </c>
      <c r="O264" s="72" t="b">
        <v>1</v>
      </c>
      <c r="P264" s="117" t="str">
        <f t="shared" si="15"/>
        <v/>
      </c>
    </row>
    <row r="265" spans="2:16" ht="16.899999999999999" x14ac:dyDescent="0.8">
      <c r="B265" s="73" t="s">
        <v>472</v>
      </c>
      <c r="F265" s="7">
        <v>1083</v>
      </c>
      <c r="G265" s="112">
        <v>225</v>
      </c>
      <c r="H265" s="10"/>
      <c r="I265" s="71" t="b">
        <v>1</v>
      </c>
      <c r="J265" s="76">
        <v>46002</v>
      </c>
      <c r="O265" s="72" t="b">
        <v>0</v>
      </c>
      <c r="P265" s="117" t="str">
        <f t="shared" si="15"/>
        <v/>
      </c>
    </row>
    <row r="266" spans="2:16" ht="16.899999999999999" x14ac:dyDescent="0.8">
      <c r="B266" s="73" t="s">
        <v>473</v>
      </c>
      <c r="F266" s="7">
        <v>1084</v>
      </c>
      <c r="G266" s="112">
        <v>225</v>
      </c>
      <c r="H266" s="10"/>
      <c r="I266" s="71" t="b">
        <v>1</v>
      </c>
      <c r="J266" s="76">
        <v>46002</v>
      </c>
      <c r="O266" s="72" t="b">
        <v>1</v>
      </c>
      <c r="P266" s="117" t="str">
        <f t="shared" si="15"/>
        <v/>
      </c>
    </row>
    <row r="267" spans="2:16" ht="16.899999999999999" x14ac:dyDescent="0.8">
      <c r="B267" s="73" t="s">
        <v>474</v>
      </c>
      <c r="F267" s="7">
        <v>1085</v>
      </c>
      <c r="G267" s="112">
        <v>225</v>
      </c>
      <c r="H267" s="10"/>
      <c r="I267" s="71" t="b">
        <v>1</v>
      </c>
      <c r="J267" s="76">
        <v>46002</v>
      </c>
      <c r="O267" s="72" t="b">
        <v>1</v>
      </c>
      <c r="P267" s="117" t="str">
        <f t="shared" si="15"/>
        <v/>
      </c>
    </row>
    <row r="268" spans="2:16" ht="16.899999999999999" x14ac:dyDescent="0.8">
      <c r="B268" s="73" t="s">
        <v>475</v>
      </c>
      <c r="F268" s="7">
        <v>1086</v>
      </c>
      <c r="G268" s="112">
        <v>225</v>
      </c>
      <c r="H268" s="10"/>
      <c r="I268" s="71" t="b">
        <v>1</v>
      </c>
      <c r="J268" s="76">
        <v>46003</v>
      </c>
      <c r="O268" s="72" t="b">
        <v>0</v>
      </c>
      <c r="P268" s="117" t="str">
        <f t="shared" si="15"/>
        <v/>
      </c>
    </row>
    <row r="269" spans="2:16" ht="16.899999999999999" x14ac:dyDescent="0.8">
      <c r="B269" s="73" t="s">
        <v>476</v>
      </c>
      <c r="F269" s="7">
        <v>1087</v>
      </c>
      <c r="G269" s="112">
        <v>225</v>
      </c>
      <c r="H269" s="10"/>
      <c r="I269" s="71" t="b">
        <v>1</v>
      </c>
      <c r="J269" s="76">
        <v>46003</v>
      </c>
      <c r="O269" s="72" t="b">
        <v>0</v>
      </c>
      <c r="P269" s="117" t="str">
        <f t="shared" si="15"/>
        <v/>
      </c>
    </row>
    <row r="270" spans="2:16" ht="16.899999999999999" x14ac:dyDescent="0.8">
      <c r="B270" s="73" t="s">
        <v>477</v>
      </c>
      <c r="F270" s="7">
        <v>1088</v>
      </c>
      <c r="G270" s="112">
        <v>225</v>
      </c>
      <c r="H270" s="10"/>
      <c r="I270" s="71" t="b">
        <v>1</v>
      </c>
      <c r="J270" s="76">
        <v>46004</v>
      </c>
      <c r="O270" s="72" t="b">
        <v>1</v>
      </c>
      <c r="P270" s="117" t="str">
        <f t="shared" si="15"/>
        <v/>
      </c>
    </row>
    <row r="271" spans="2:16" ht="16.899999999999999" x14ac:dyDescent="0.8">
      <c r="B271" s="73" t="s">
        <v>478</v>
      </c>
      <c r="F271" s="7">
        <v>1089</v>
      </c>
      <c r="G271" s="112">
        <v>225</v>
      </c>
      <c r="H271" s="10"/>
      <c r="I271" s="71" t="b">
        <v>1</v>
      </c>
      <c r="J271" s="76">
        <v>46004</v>
      </c>
      <c r="O271" s="72" t="b">
        <v>1</v>
      </c>
      <c r="P271" s="117" t="str">
        <f t="shared" si="15"/>
        <v/>
      </c>
    </row>
    <row r="272" spans="2:16" ht="16.899999999999999" x14ac:dyDescent="0.8">
      <c r="B272" s="73" t="s">
        <v>479</v>
      </c>
      <c r="F272" s="7">
        <v>1090</v>
      </c>
      <c r="G272" s="112">
        <v>225</v>
      </c>
      <c r="H272" s="10"/>
      <c r="I272" s="71" t="b">
        <v>1</v>
      </c>
      <c r="J272" s="76">
        <v>46005</v>
      </c>
      <c r="O272" s="72" t="b">
        <v>1</v>
      </c>
      <c r="P272" s="117" t="str">
        <f t="shared" si="15"/>
        <v/>
      </c>
    </row>
    <row r="273" spans="2:16" ht="16.899999999999999" x14ac:dyDescent="0.8">
      <c r="B273" s="73" t="s">
        <v>480</v>
      </c>
      <c r="F273" s="7">
        <v>1091</v>
      </c>
      <c r="G273" s="112">
        <v>225</v>
      </c>
      <c r="H273" s="10"/>
      <c r="I273" s="71" t="b">
        <v>1</v>
      </c>
      <c r="J273" s="76">
        <v>46005</v>
      </c>
      <c r="O273" s="72" t="b">
        <v>1</v>
      </c>
      <c r="P273" s="117" t="str">
        <f t="shared" si="15"/>
        <v/>
      </c>
    </row>
    <row r="274" spans="2:16" ht="16.899999999999999" x14ac:dyDescent="0.8">
      <c r="B274" s="73" t="s">
        <v>481</v>
      </c>
      <c r="F274" s="7">
        <v>1092</v>
      </c>
      <c r="G274" s="112">
        <v>225</v>
      </c>
      <c r="H274" s="10"/>
      <c r="I274" s="71" t="b">
        <v>1</v>
      </c>
      <c r="J274" s="76">
        <v>46005</v>
      </c>
      <c r="O274" s="72" t="b">
        <v>1</v>
      </c>
      <c r="P274" s="117" t="str">
        <f t="shared" si="15"/>
        <v/>
      </c>
    </row>
    <row r="275" spans="2:16" ht="16.899999999999999" x14ac:dyDescent="0.8">
      <c r="B275" s="73" t="s">
        <v>482</v>
      </c>
      <c r="F275" s="7">
        <v>1093</v>
      </c>
      <c r="G275" s="112">
        <v>225</v>
      </c>
      <c r="H275" s="10"/>
      <c r="I275" s="71" t="b">
        <v>1</v>
      </c>
      <c r="J275" s="76">
        <v>46005</v>
      </c>
      <c r="O275" s="72" t="b">
        <v>1</v>
      </c>
      <c r="P275" s="117" t="str">
        <f t="shared" si="15"/>
        <v/>
      </c>
    </row>
    <row r="276" spans="2:16" ht="16.899999999999999" x14ac:dyDescent="0.8">
      <c r="B276" s="73" t="s">
        <v>483</v>
      </c>
      <c r="F276" s="7">
        <v>1094</v>
      </c>
      <c r="G276" s="112">
        <v>225</v>
      </c>
      <c r="H276" s="10"/>
      <c r="I276" s="71" t="b">
        <v>1</v>
      </c>
      <c r="J276" s="76">
        <v>46006</v>
      </c>
      <c r="O276" s="72" t="b">
        <v>1</v>
      </c>
      <c r="P276" s="117" t="str">
        <f t="shared" si="15"/>
        <v/>
      </c>
    </row>
    <row r="277" spans="2:16" ht="16.899999999999999" x14ac:dyDescent="0.8">
      <c r="B277" s="73" t="s">
        <v>484</v>
      </c>
      <c r="F277" s="7">
        <v>1095</v>
      </c>
      <c r="G277" s="112">
        <v>225</v>
      </c>
      <c r="H277" s="10"/>
      <c r="I277" s="71" t="b">
        <v>1</v>
      </c>
      <c r="J277" s="76">
        <v>46006</v>
      </c>
      <c r="O277" s="72" t="b">
        <v>1</v>
      </c>
      <c r="P277" s="117" t="str">
        <f t="shared" si="15"/>
        <v/>
      </c>
    </row>
    <row r="278" spans="2:16" ht="16.899999999999999" x14ac:dyDescent="0.8">
      <c r="B278" s="73" t="s">
        <v>485</v>
      </c>
      <c r="F278" s="7">
        <v>1096</v>
      </c>
      <c r="G278" s="112">
        <v>225</v>
      </c>
      <c r="H278" s="10"/>
      <c r="I278" s="71" t="b">
        <v>1</v>
      </c>
      <c r="J278" s="76">
        <v>46007</v>
      </c>
      <c r="O278" s="72" t="b">
        <v>1</v>
      </c>
      <c r="P278" s="117" t="str">
        <f t="shared" si="15"/>
        <v/>
      </c>
    </row>
    <row r="279" spans="2:16" ht="16.899999999999999" x14ac:dyDescent="0.8">
      <c r="B279" s="73" t="s">
        <v>486</v>
      </c>
      <c r="F279" s="7">
        <v>1097</v>
      </c>
      <c r="G279" s="112">
        <v>225</v>
      </c>
      <c r="H279" s="10"/>
      <c r="I279" s="71" t="b">
        <v>1</v>
      </c>
      <c r="J279" s="76">
        <v>46008</v>
      </c>
      <c r="O279" s="72" t="b">
        <v>1</v>
      </c>
      <c r="P279" s="117" t="str">
        <f t="shared" si="15"/>
        <v/>
      </c>
    </row>
    <row r="280" spans="2:16" ht="16.899999999999999" x14ac:dyDescent="0.8">
      <c r="B280" s="73" t="s">
        <v>487</v>
      </c>
      <c r="F280" s="7">
        <v>1098</v>
      </c>
      <c r="G280" s="112">
        <v>225</v>
      </c>
      <c r="H280" s="10"/>
      <c r="I280" s="71" t="b">
        <v>1</v>
      </c>
      <c r="J280" s="76">
        <v>46008</v>
      </c>
      <c r="O280" s="72" t="b">
        <v>1</v>
      </c>
      <c r="P280" s="117" t="str">
        <f t="shared" si="15"/>
        <v/>
      </c>
    </row>
    <row r="281" spans="2:16" ht="16.899999999999999" x14ac:dyDescent="0.8">
      <c r="B281" s="73" t="s">
        <v>488</v>
      </c>
      <c r="F281" s="7">
        <v>1099</v>
      </c>
      <c r="G281" s="112">
        <v>225</v>
      </c>
      <c r="H281" s="10"/>
      <c r="I281" s="71" t="b">
        <v>1</v>
      </c>
      <c r="J281" s="76">
        <v>46008</v>
      </c>
      <c r="O281" s="72" t="b">
        <v>0</v>
      </c>
      <c r="P281" s="117" t="str">
        <f t="shared" si="15"/>
        <v/>
      </c>
    </row>
    <row r="282" spans="2:16" ht="16.899999999999999" x14ac:dyDescent="0.8">
      <c r="B282" s="73" t="s">
        <v>489</v>
      </c>
      <c r="F282" s="7">
        <v>1100</v>
      </c>
      <c r="G282" s="112">
        <v>225</v>
      </c>
      <c r="H282" s="10"/>
      <c r="I282" s="71" t="b">
        <v>1</v>
      </c>
      <c r="J282" s="76">
        <v>46009</v>
      </c>
      <c r="O282" s="72" t="b">
        <v>1</v>
      </c>
      <c r="P282" s="117" t="str">
        <f t="shared" si="15"/>
        <v/>
      </c>
    </row>
    <row r="283" spans="2:16" ht="16.899999999999999" x14ac:dyDescent="0.8">
      <c r="B283" s="73" t="s">
        <v>490</v>
      </c>
      <c r="F283" s="7">
        <v>1101</v>
      </c>
      <c r="G283" s="112">
        <v>225</v>
      </c>
      <c r="H283" s="10"/>
      <c r="I283" s="71" t="b">
        <v>1</v>
      </c>
      <c r="J283" s="76">
        <v>46009</v>
      </c>
      <c r="O283" s="72" t="b">
        <v>1</v>
      </c>
      <c r="P283" s="117" t="str">
        <f t="shared" si="15"/>
        <v/>
      </c>
    </row>
    <row r="284" spans="2:16" ht="16.899999999999999" x14ac:dyDescent="0.8">
      <c r="B284" s="73" t="s">
        <v>491</v>
      </c>
      <c r="F284" s="7">
        <v>1102</v>
      </c>
      <c r="G284" s="112">
        <v>225</v>
      </c>
      <c r="H284" s="10"/>
      <c r="I284" s="71" t="b">
        <v>1</v>
      </c>
      <c r="J284" s="76">
        <v>46010</v>
      </c>
      <c r="O284" s="72" t="b">
        <v>1</v>
      </c>
      <c r="P284" s="117" t="str">
        <f t="shared" si="15"/>
        <v/>
      </c>
    </row>
    <row r="285" spans="2:16" ht="16.899999999999999" x14ac:dyDescent="0.8">
      <c r="B285" s="73" t="s">
        <v>492</v>
      </c>
      <c r="F285" s="7">
        <v>1103</v>
      </c>
      <c r="G285" s="112">
        <v>225</v>
      </c>
      <c r="H285" s="10"/>
      <c r="I285" s="71" t="b">
        <v>1</v>
      </c>
      <c r="J285" s="76">
        <v>46010</v>
      </c>
      <c r="O285" s="72" t="b">
        <v>1</v>
      </c>
      <c r="P285" s="117" t="str">
        <f t="shared" si="15"/>
        <v/>
      </c>
    </row>
    <row r="286" spans="2:16" ht="16.899999999999999" x14ac:dyDescent="0.8">
      <c r="B286" s="73" t="s">
        <v>493</v>
      </c>
      <c r="F286" s="7">
        <v>1104</v>
      </c>
      <c r="G286" s="112">
        <v>225</v>
      </c>
      <c r="H286" s="10"/>
      <c r="I286" s="71" t="b">
        <v>1</v>
      </c>
      <c r="J286" s="76">
        <v>46010</v>
      </c>
      <c r="O286" s="72" t="b">
        <v>0</v>
      </c>
      <c r="P286" s="117" t="str">
        <f t="shared" si="15"/>
        <v/>
      </c>
    </row>
    <row r="287" spans="2:16" ht="16.899999999999999" x14ac:dyDescent="0.8">
      <c r="B287" s="73" t="s">
        <v>494</v>
      </c>
      <c r="F287" s="7">
        <v>1105</v>
      </c>
      <c r="G287" s="112">
        <v>225</v>
      </c>
      <c r="H287" s="10"/>
      <c r="I287" s="71" t="b">
        <v>1</v>
      </c>
      <c r="J287" s="76">
        <v>46010</v>
      </c>
      <c r="O287" s="72" t="b">
        <v>1</v>
      </c>
      <c r="P287" s="117" t="str">
        <f t="shared" si="15"/>
        <v/>
      </c>
    </row>
    <row r="288" spans="2:16" ht="16.899999999999999" x14ac:dyDescent="0.8">
      <c r="B288" s="73" t="s">
        <v>495</v>
      </c>
      <c r="F288" s="7">
        <v>1106</v>
      </c>
      <c r="G288" s="112">
        <v>225</v>
      </c>
      <c r="H288" s="10"/>
      <c r="I288" s="71" t="b">
        <v>1</v>
      </c>
      <c r="J288" s="76">
        <v>46011</v>
      </c>
      <c r="O288" s="72" t="b">
        <v>0</v>
      </c>
      <c r="P288" s="117" t="str">
        <f t="shared" si="15"/>
        <v/>
      </c>
    </row>
    <row r="289" spans="2:16" ht="16.899999999999999" x14ac:dyDescent="0.8">
      <c r="B289" s="73" t="s">
        <v>496</v>
      </c>
      <c r="F289" s="7">
        <v>1107</v>
      </c>
      <c r="G289" s="112">
        <v>225</v>
      </c>
      <c r="H289" s="10"/>
      <c r="I289" s="71" t="b">
        <v>1</v>
      </c>
      <c r="J289" s="76">
        <v>46011</v>
      </c>
      <c r="O289" s="72" t="b">
        <v>1</v>
      </c>
      <c r="P289" s="117" t="str">
        <f t="shared" si="15"/>
        <v/>
      </c>
    </row>
    <row r="290" spans="2:16" ht="16.899999999999999" x14ac:dyDescent="0.8">
      <c r="B290" s="73" t="s">
        <v>497</v>
      </c>
      <c r="F290" s="7">
        <v>1108</v>
      </c>
      <c r="G290" s="9">
        <v>450</v>
      </c>
      <c r="H290" s="10" t="s">
        <v>736</v>
      </c>
      <c r="I290" s="71" t="b">
        <v>1</v>
      </c>
      <c r="J290" s="76">
        <v>46011</v>
      </c>
      <c r="O290" s="72" t="b">
        <v>0</v>
      </c>
      <c r="P290" s="117" t="str">
        <f t="shared" si="15"/>
        <v/>
      </c>
    </row>
    <row r="291" spans="2:16" ht="16.899999999999999" x14ac:dyDescent="0.8">
      <c r="B291" s="73" t="s">
        <v>498</v>
      </c>
      <c r="F291" s="7">
        <v>1109</v>
      </c>
      <c r="G291" s="112">
        <v>225</v>
      </c>
      <c r="H291" s="10"/>
      <c r="I291" s="71" t="b">
        <v>1</v>
      </c>
      <c r="J291" s="76">
        <v>46012</v>
      </c>
      <c r="O291" s="72" t="b">
        <v>0</v>
      </c>
      <c r="P291" s="117" t="str">
        <f t="shared" si="15"/>
        <v/>
      </c>
    </row>
    <row r="292" spans="2:16" ht="16.899999999999999" x14ac:dyDescent="0.8">
      <c r="B292" s="73" t="s">
        <v>499</v>
      </c>
      <c r="F292" s="7">
        <v>1110</v>
      </c>
      <c r="G292" s="112">
        <v>225</v>
      </c>
      <c r="H292" s="10"/>
      <c r="I292" s="71" t="b">
        <v>1</v>
      </c>
      <c r="J292" s="76">
        <v>46012</v>
      </c>
      <c r="O292" s="72" t="b">
        <v>1</v>
      </c>
      <c r="P292" s="117" t="str">
        <f t="shared" si="15"/>
        <v/>
      </c>
    </row>
    <row r="293" spans="2:16" ht="16.899999999999999" x14ac:dyDescent="0.8">
      <c r="B293" s="73" t="s">
        <v>500</v>
      </c>
      <c r="F293" s="7">
        <v>1111</v>
      </c>
      <c r="G293" s="112">
        <v>225</v>
      </c>
      <c r="H293" s="10"/>
      <c r="I293" s="71" t="b">
        <v>1</v>
      </c>
      <c r="J293" s="76">
        <v>46013</v>
      </c>
      <c r="O293" s="72" t="b">
        <v>0</v>
      </c>
      <c r="P293" s="117" t="str">
        <f t="shared" si="15"/>
        <v/>
      </c>
    </row>
    <row r="294" spans="2:16" ht="16.899999999999999" x14ac:dyDescent="0.8">
      <c r="B294" s="73" t="s">
        <v>501</v>
      </c>
      <c r="F294" s="7">
        <v>1112</v>
      </c>
      <c r="G294" s="112">
        <v>225</v>
      </c>
      <c r="H294" s="10"/>
      <c r="I294" s="71" t="b">
        <v>1</v>
      </c>
      <c r="J294" s="76">
        <v>46013</v>
      </c>
      <c r="O294" s="72" t="b">
        <v>0</v>
      </c>
      <c r="P294" s="117" t="str">
        <f t="shared" si="15"/>
        <v/>
      </c>
    </row>
    <row r="295" spans="2:16" ht="16.899999999999999" x14ac:dyDescent="0.8">
      <c r="B295" s="73" t="s">
        <v>502</v>
      </c>
      <c r="F295" s="7">
        <v>1113</v>
      </c>
      <c r="G295" s="112">
        <v>225</v>
      </c>
      <c r="H295" s="10"/>
      <c r="I295" s="71" t="b">
        <v>1</v>
      </c>
      <c r="J295" s="76">
        <v>46013</v>
      </c>
      <c r="O295" s="72" t="b">
        <v>0</v>
      </c>
      <c r="P295" s="117" t="str">
        <f t="shared" si="15"/>
        <v/>
      </c>
    </row>
    <row r="296" spans="2:16" ht="16.899999999999999" x14ac:dyDescent="0.8">
      <c r="B296" s="73" t="s">
        <v>503</v>
      </c>
      <c r="F296" s="7">
        <v>1114</v>
      </c>
      <c r="G296" s="112">
        <v>225</v>
      </c>
      <c r="H296" s="10"/>
      <c r="I296" s="71" t="b">
        <v>1</v>
      </c>
      <c r="J296" s="80">
        <v>46013</v>
      </c>
      <c r="O296" s="72" t="b">
        <v>0</v>
      </c>
      <c r="P296" s="117" t="str">
        <f t="shared" si="15"/>
        <v/>
      </c>
    </row>
    <row r="297" spans="2:16" ht="16.899999999999999" x14ac:dyDescent="0.8">
      <c r="B297" s="73" t="s">
        <v>504</v>
      </c>
      <c r="F297" s="7">
        <v>1115</v>
      </c>
      <c r="G297" s="112">
        <v>225</v>
      </c>
      <c r="H297" s="10"/>
      <c r="I297" s="71" t="b">
        <v>1</v>
      </c>
      <c r="J297" s="80">
        <v>46013</v>
      </c>
      <c r="O297" s="72" t="b">
        <v>0</v>
      </c>
      <c r="P297" s="117" t="str">
        <f t="shared" si="15"/>
        <v/>
      </c>
    </row>
    <row r="298" spans="2:16" ht="16.899999999999999" x14ac:dyDescent="0.8">
      <c r="B298" s="73" t="s">
        <v>505</v>
      </c>
      <c r="F298" s="7">
        <v>1116</v>
      </c>
      <c r="G298" s="112">
        <v>225</v>
      </c>
      <c r="H298" s="10"/>
      <c r="I298" s="71" t="b">
        <v>1</v>
      </c>
      <c r="J298" s="76">
        <v>46013</v>
      </c>
      <c r="O298" s="72" t="b">
        <v>1</v>
      </c>
      <c r="P298" s="117" t="str">
        <f t="shared" si="15"/>
        <v/>
      </c>
    </row>
    <row r="299" spans="2:16" ht="16.899999999999999" x14ac:dyDescent="0.8">
      <c r="B299" s="73" t="s">
        <v>506</v>
      </c>
      <c r="F299" s="7">
        <v>1117</v>
      </c>
      <c r="G299" s="112">
        <v>225</v>
      </c>
      <c r="H299" s="10"/>
      <c r="I299" s="71" t="b">
        <v>1</v>
      </c>
      <c r="J299" s="76">
        <v>46014</v>
      </c>
      <c r="O299" s="72" t="b">
        <v>0</v>
      </c>
      <c r="P299" s="117" t="str">
        <f t="shared" si="15"/>
        <v/>
      </c>
    </row>
    <row r="300" spans="2:16" ht="16.899999999999999" x14ac:dyDescent="0.8">
      <c r="B300" s="73" t="s">
        <v>507</v>
      </c>
      <c r="F300" s="7">
        <v>1118</v>
      </c>
      <c r="G300" s="112">
        <v>225</v>
      </c>
      <c r="H300" s="10"/>
      <c r="I300" s="71" t="b">
        <v>1</v>
      </c>
      <c r="J300" s="80">
        <v>46014</v>
      </c>
      <c r="O300" s="72" t="b">
        <v>1</v>
      </c>
      <c r="P300" s="117" t="str">
        <f t="shared" si="15"/>
        <v/>
      </c>
    </row>
    <row r="301" spans="2:16" ht="16.899999999999999" x14ac:dyDescent="0.8">
      <c r="B301" s="73" t="s">
        <v>508</v>
      </c>
      <c r="F301" s="7">
        <v>1119</v>
      </c>
      <c r="G301" s="112">
        <v>225</v>
      </c>
      <c r="H301" s="10"/>
      <c r="I301" s="71" t="b">
        <v>1</v>
      </c>
      <c r="J301" s="76">
        <v>46014</v>
      </c>
      <c r="O301" s="72" t="b">
        <v>1</v>
      </c>
      <c r="P301" s="117" t="str">
        <f t="shared" si="15"/>
        <v/>
      </c>
    </row>
    <row r="302" spans="2:16" ht="16.899999999999999" x14ac:dyDescent="0.8">
      <c r="B302" s="73" t="s">
        <v>509</v>
      </c>
      <c r="F302" s="7">
        <v>1120</v>
      </c>
      <c r="G302" s="112">
        <v>225</v>
      </c>
      <c r="H302" s="10"/>
      <c r="I302" s="71" t="b">
        <v>1</v>
      </c>
      <c r="J302" s="76">
        <v>46014</v>
      </c>
      <c r="O302" s="72" t="b">
        <v>1</v>
      </c>
      <c r="P302" s="117" t="str">
        <f t="shared" si="15"/>
        <v/>
      </c>
    </row>
    <row r="303" spans="2:16" ht="16.899999999999999" x14ac:dyDescent="0.8">
      <c r="B303" s="73" t="s">
        <v>510</v>
      </c>
      <c r="F303" s="7">
        <v>1121</v>
      </c>
      <c r="G303" s="112">
        <v>225</v>
      </c>
      <c r="H303" s="10"/>
      <c r="I303" s="71" t="b">
        <v>1</v>
      </c>
      <c r="J303" s="76">
        <v>46014</v>
      </c>
      <c r="O303" s="72" t="b">
        <v>0</v>
      </c>
      <c r="P303" s="117" t="str">
        <f t="shared" si="15"/>
        <v/>
      </c>
    </row>
    <row r="304" spans="2:16" ht="16.899999999999999" x14ac:dyDescent="0.8">
      <c r="B304" s="73" t="s">
        <v>511</v>
      </c>
      <c r="F304" s="7">
        <v>1122</v>
      </c>
      <c r="G304" s="112">
        <v>225</v>
      </c>
      <c r="H304" s="10"/>
      <c r="I304" s="71" t="b">
        <v>1</v>
      </c>
      <c r="J304" s="76">
        <v>46014</v>
      </c>
      <c r="O304" s="72" t="b">
        <v>1</v>
      </c>
      <c r="P304" s="117" t="str">
        <f t="shared" si="15"/>
        <v/>
      </c>
    </row>
    <row r="305" spans="2:16" ht="16.899999999999999" x14ac:dyDescent="0.8">
      <c r="B305" s="73" t="s">
        <v>512</v>
      </c>
      <c r="F305" s="7">
        <v>1123</v>
      </c>
      <c r="G305" s="112">
        <v>225</v>
      </c>
      <c r="H305" s="10"/>
      <c r="I305" s="71" t="b">
        <v>1</v>
      </c>
      <c r="J305" s="76">
        <v>46014</v>
      </c>
      <c r="O305" s="72" t="b">
        <v>1</v>
      </c>
      <c r="P305" s="117" t="str">
        <f t="shared" si="15"/>
        <v/>
      </c>
    </row>
    <row r="306" spans="2:16" ht="16.899999999999999" x14ac:dyDescent="0.8">
      <c r="B306" s="73" t="s">
        <v>513</v>
      </c>
      <c r="F306" s="7">
        <v>1124</v>
      </c>
      <c r="G306" s="112">
        <v>225</v>
      </c>
      <c r="H306" s="10"/>
      <c r="I306" s="71" t="b">
        <v>1</v>
      </c>
      <c r="J306" s="76">
        <v>46015</v>
      </c>
      <c r="O306" s="72" t="b">
        <v>0</v>
      </c>
      <c r="P306" s="117" t="str">
        <f t="shared" si="15"/>
        <v/>
      </c>
    </row>
    <row r="307" spans="2:16" ht="16.899999999999999" x14ac:dyDescent="0.8">
      <c r="B307" s="73" t="s">
        <v>514</v>
      </c>
      <c r="F307" s="7">
        <v>1125</v>
      </c>
      <c r="G307" s="112">
        <v>225</v>
      </c>
      <c r="H307" s="10"/>
      <c r="I307" s="71" t="b">
        <v>1</v>
      </c>
      <c r="J307" s="76">
        <v>46015</v>
      </c>
      <c r="O307" s="72" t="b">
        <v>1</v>
      </c>
      <c r="P307" s="117" t="str">
        <f t="shared" si="15"/>
        <v/>
      </c>
    </row>
    <row r="308" spans="2:16" ht="16.899999999999999" x14ac:dyDescent="0.8">
      <c r="B308" s="73" t="s">
        <v>515</v>
      </c>
      <c r="F308" s="7">
        <v>1126</v>
      </c>
      <c r="G308" s="112">
        <v>225</v>
      </c>
      <c r="H308" s="10"/>
      <c r="I308" s="71" t="b">
        <v>1</v>
      </c>
      <c r="J308" s="76">
        <v>46015</v>
      </c>
      <c r="O308" s="72" t="b">
        <v>0</v>
      </c>
      <c r="P308" s="117" t="str">
        <f t="shared" si="15"/>
        <v/>
      </c>
    </row>
    <row r="309" spans="2:16" ht="16.899999999999999" x14ac:dyDescent="0.8">
      <c r="B309" s="73" t="s">
        <v>516</v>
      </c>
      <c r="F309" s="7">
        <v>1127</v>
      </c>
      <c r="G309" s="112">
        <v>225</v>
      </c>
      <c r="H309" s="10"/>
      <c r="I309" s="71" t="b">
        <v>1</v>
      </c>
      <c r="J309" s="76">
        <v>46015</v>
      </c>
      <c r="O309" s="72" t="b">
        <v>0</v>
      </c>
      <c r="P309" s="117" t="str">
        <f t="shared" si="15"/>
        <v/>
      </c>
    </row>
    <row r="310" spans="2:16" ht="16.899999999999999" x14ac:dyDescent="0.8">
      <c r="B310" s="73" t="s">
        <v>517</v>
      </c>
      <c r="F310" s="7">
        <v>1128</v>
      </c>
      <c r="G310" s="112">
        <v>225</v>
      </c>
      <c r="H310" s="10"/>
      <c r="I310" s="71" t="b">
        <v>1</v>
      </c>
      <c r="J310" s="76">
        <v>46015</v>
      </c>
      <c r="O310" s="72" t="b">
        <v>1</v>
      </c>
      <c r="P310" s="117" t="str">
        <f t="shared" si="15"/>
        <v/>
      </c>
    </row>
    <row r="311" spans="2:16" ht="16.899999999999999" x14ac:dyDescent="0.8">
      <c r="B311" s="73" t="s">
        <v>518</v>
      </c>
      <c r="F311" s="7">
        <v>1129</v>
      </c>
      <c r="G311" s="112">
        <v>225</v>
      </c>
      <c r="H311" s="10"/>
      <c r="I311" s="71" t="b">
        <v>1</v>
      </c>
      <c r="J311" s="76">
        <v>46015</v>
      </c>
      <c r="O311" s="72" t="b">
        <v>1</v>
      </c>
      <c r="P311" s="117" t="str">
        <f t="shared" si="15"/>
        <v/>
      </c>
    </row>
    <row r="312" spans="2:16" ht="16.899999999999999" x14ac:dyDescent="0.8">
      <c r="B312" s="73" t="s">
        <v>519</v>
      </c>
      <c r="F312" s="7">
        <v>1130</v>
      </c>
      <c r="G312" s="112">
        <v>225</v>
      </c>
      <c r="H312" s="10"/>
      <c r="I312" s="71" t="b">
        <v>1</v>
      </c>
      <c r="J312" s="76">
        <v>46015</v>
      </c>
      <c r="O312" s="72" t="b">
        <v>0</v>
      </c>
      <c r="P312" s="117" t="str">
        <f t="shared" si="15"/>
        <v/>
      </c>
    </row>
    <row r="313" spans="2:16" ht="16.899999999999999" x14ac:dyDescent="0.8">
      <c r="B313" s="73" t="s">
        <v>520</v>
      </c>
      <c r="F313" s="7">
        <v>1131</v>
      </c>
      <c r="G313" s="112">
        <v>225</v>
      </c>
      <c r="H313" s="10"/>
      <c r="I313" s="71" t="b">
        <v>1</v>
      </c>
      <c r="J313" s="76">
        <v>46015</v>
      </c>
      <c r="O313" s="72" t="b">
        <v>0</v>
      </c>
      <c r="P313" s="117" t="str">
        <f t="shared" si="15"/>
        <v/>
      </c>
    </row>
    <row r="314" spans="2:16" ht="16.899999999999999" x14ac:dyDescent="0.8">
      <c r="B314" s="73" t="s">
        <v>521</v>
      </c>
      <c r="F314" s="7">
        <v>1132</v>
      </c>
      <c r="G314" s="112">
        <v>225</v>
      </c>
      <c r="H314" s="10"/>
      <c r="I314" s="71" t="b">
        <v>1</v>
      </c>
      <c r="J314" s="76">
        <v>46015</v>
      </c>
      <c r="O314" s="72" t="b">
        <v>1</v>
      </c>
      <c r="P314" s="117" t="str">
        <f t="shared" si="15"/>
        <v/>
      </c>
    </row>
    <row r="315" spans="2:16" ht="16.899999999999999" x14ac:dyDescent="0.8">
      <c r="B315" s="73" t="s">
        <v>522</v>
      </c>
      <c r="F315" s="7">
        <v>1133</v>
      </c>
      <c r="G315" s="112">
        <v>225</v>
      </c>
      <c r="H315" s="10"/>
      <c r="I315" s="71" t="b">
        <v>1</v>
      </c>
      <c r="J315" s="76">
        <v>46015</v>
      </c>
      <c r="O315" s="72" t="b">
        <v>0</v>
      </c>
      <c r="P315" s="117" t="str">
        <f t="shared" si="15"/>
        <v/>
      </c>
    </row>
    <row r="316" spans="2:16" ht="16.899999999999999" x14ac:dyDescent="0.8">
      <c r="B316" s="73" t="s">
        <v>498</v>
      </c>
      <c r="F316" s="7">
        <v>1134</v>
      </c>
      <c r="G316" s="112">
        <v>225</v>
      </c>
      <c r="H316" s="10"/>
      <c r="I316" s="71" t="b">
        <v>1</v>
      </c>
      <c r="J316" s="76">
        <v>46016</v>
      </c>
      <c r="O316" s="72" t="b">
        <v>1</v>
      </c>
      <c r="P316" s="117" t="str">
        <f t="shared" si="15"/>
        <v/>
      </c>
    </row>
    <row r="317" spans="2:16" ht="16.899999999999999" x14ac:dyDescent="0.8">
      <c r="B317" s="73" t="s">
        <v>523</v>
      </c>
      <c r="F317" s="7">
        <v>1135</v>
      </c>
      <c r="G317" s="112">
        <v>225</v>
      </c>
      <c r="H317" s="10"/>
      <c r="I317" s="71" t="b">
        <v>1</v>
      </c>
      <c r="J317" s="76">
        <v>46016</v>
      </c>
      <c r="O317" s="72" t="b">
        <v>1</v>
      </c>
      <c r="P317" s="117" t="str">
        <f t="shared" si="15"/>
        <v/>
      </c>
    </row>
    <row r="318" spans="2:16" ht="16.899999999999999" x14ac:dyDescent="0.8">
      <c r="B318" s="73" t="s">
        <v>524</v>
      </c>
      <c r="F318" s="7">
        <v>1136</v>
      </c>
      <c r="G318" s="112">
        <v>225</v>
      </c>
      <c r="H318" s="10"/>
      <c r="I318" s="71" t="b">
        <v>1</v>
      </c>
      <c r="J318" s="76">
        <v>46017</v>
      </c>
      <c r="O318" s="72" t="b">
        <v>1</v>
      </c>
      <c r="P318" s="117" t="str">
        <f t="shared" si="15"/>
        <v/>
      </c>
    </row>
    <row r="319" spans="2:16" ht="16.899999999999999" x14ac:dyDescent="0.8">
      <c r="B319" s="73" t="s">
        <v>525</v>
      </c>
      <c r="F319" s="7">
        <v>1137</v>
      </c>
      <c r="G319" s="112">
        <v>225</v>
      </c>
      <c r="H319" s="10"/>
      <c r="I319" s="71" t="b">
        <v>1</v>
      </c>
      <c r="J319" s="80">
        <v>46017</v>
      </c>
      <c r="O319" s="72" t="b">
        <v>1</v>
      </c>
      <c r="P319" s="117" t="str">
        <f t="shared" si="15"/>
        <v/>
      </c>
    </row>
    <row r="320" spans="2:16" ht="49.5" x14ac:dyDescent="0.8">
      <c r="B320" s="73" t="s">
        <v>526</v>
      </c>
      <c r="F320" s="7">
        <v>1138</v>
      </c>
      <c r="G320" s="9">
        <v>200</v>
      </c>
      <c r="H320" s="10" t="s">
        <v>737</v>
      </c>
      <c r="I320" s="71" t="b">
        <v>1</v>
      </c>
      <c r="J320" s="76">
        <v>46018</v>
      </c>
      <c r="O320" s="72" t="b">
        <v>1</v>
      </c>
      <c r="P320" s="117" t="str">
        <f t="shared" si="15"/>
        <v/>
      </c>
    </row>
    <row r="321" spans="2:16" ht="16.5" x14ac:dyDescent="0.45">
      <c r="B321" s="10" t="s">
        <v>527</v>
      </c>
      <c r="F321" s="7">
        <v>1139</v>
      </c>
      <c r="G321" s="112">
        <v>225</v>
      </c>
      <c r="H321" s="10"/>
      <c r="I321" s="71" t="b">
        <v>1</v>
      </c>
      <c r="J321" s="76">
        <v>46018</v>
      </c>
      <c r="O321" s="72" t="b">
        <v>1</v>
      </c>
      <c r="P321" s="117" t="str">
        <f t="shared" si="15"/>
        <v/>
      </c>
    </row>
    <row r="322" spans="2:16" ht="16.5" x14ac:dyDescent="0.45">
      <c r="B322" s="10" t="s">
        <v>528</v>
      </c>
      <c r="F322" s="7">
        <v>1140</v>
      </c>
      <c r="G322" s="112">
        <v>225</v>
      </c>
      <c r="H322" s="10"/>
      <c r="I322" s="71" t="b">
        <v>1</v>
      </c>
      <c r="J322" s="76">
        <v>46020</v>
      </c>
      <c r="O322" s="72" t="b">
        <v>0</v>
      </c>
      <c r="P322" s="117" t="str">
        <f t="shared" si="15"/>
        <v/>
      </c>
    </row>
    <row r="323" spans="2:16" ht="16.5" x14ac:dyDescent="0.45">
      <c r="B323" s="10" t="s">
        <v>529</v>
      </c>
      <c r="F323" s="7">
        <v>1141</v>
      </c>
      <c r="G323" s="112">
        <v>225</v>
      </c>
      <c r="H323" s="10"/>
      <c r="I323" s="71" t="b">
        <v>1</v>
      </c>
      <c r="J323" s="76">
        <v>46020</v>
      </c>
      <c r="O323" s="72" t="b">
        <v>1</v>
      </c>
      <c r="P323" s="117" t="str">
        <f t="shared" si="15"/>
        <v/>
      </c>
    </row>
    <row r="324" spans="2:16" ht="16.5" x14ac:dyDescent="0.45">
      <c r="B324" s="10" t="s">
        <v>530</v>
      </c>
      <c r="F324" s="7">
        <v>1142</v>
      </c>
      <c r="G324" s="112">
        <v>225</v>
      </c>
      <c r="H324" s="10"/>
      <c r="I324" s="71" t="b">
        <v>1</v>
      </c>
      <c r="J324" s="76">
        <v>46021</v>
      </c>
      <c r="O324" s="72" t="b">
        <v>1</v>
      </c>
      <c r="P324" s="117" t="str">
        <f t="shared" si="15"/>
        <v/>
      </c>
    </row>
    <row r="325" spans="2:16" ht="16.5" x14ac:dyDescent="0.45">
      <c r="B325" s="10" t="s">
        <v>531</v>
      </c>
      <c r="F325" s="7">
        <v>1143</v>
      </c>
      <c r="G325" s="112">
        <v>225</v>
      </c>
      <c r="H325" s="10"/>
      <c r="I325" s="71" t="b">
        <v>1</v>
      </c>
      <c r="J325" s="76">
        <v>46021</v>
      </c>
      <c r="O325" s="72" t="b">
        <v>1</v>
      </c>
      <c r="P325" s="117" t="str">
        <f t="shared" si="15"/>
        <v/>
      </c>
    </row>
    <row r="326" spans="2:16" ht="16.5" x14ac:dyDescent="0.45">
      <c r="B326" s="10" t="s">
        <v>532</v>
      </c>
      <c r="F326" s="7">
        <v>1144</v>
      </c>
      <c r="G326" s="112">
        <v>225</v>
      </c>
      <c r="H326" s="10"/>
      <c r="I326" s="71" t="b">
        <v>1</v>
      </c>
      <c r="J326" s="76">
        <v>46024</v>
      </c>
      <c r="O326" s="72" t="b">
        <v>0</v>
      </c>
      <c r="P326" s="117" t="str">
        <f t="shared" si="15"/>
        <v/>
      </c>
    </row>
    <row r="327" spans="2:16" ht="16.5" x14ac:dyDescent="0.45">
      <c r="B327" s="10" t="s">
        <v>533</v>
      </c>
      <c r="F327" s="7">
        <v>1145</v>
      </c>
      <c r="G327" s="112">
        <v>225</v>
      </c>
      <c r="H327" s="10"/>
      <c r="I327" s="71" t="b">
        <v>1</v>
      </c>
      <c r="J327" s="76">
        <v>46024</v>
      </c>
      <c r="O327" s="72" t="b">
        <v>0</v>
      </c>
      <c r="P327" s="117" t="str">
        <f t="shared" si="15"/>
        <v/>
      </c>
    </row>
    <row r="328" spans="2:16" ht="16.5" x14ac:dyDescent="0.45">
      <c r="B328" s="10" t="s">
        <v>534</v>
      </c>
      <c r="F328" s="7">
        <v>1146</v>
      </c>
      <c r="G328" s="112">
        <v>225</v>
      </c>
      <c r="H328" s="10"/>
      <c r="I328" s="71" t="b">
        <v>1</v>
      </c>
      <c r="J328" s="76">
        <v>46024</v>
      </c>
      <c r="O328" s="72" t="b">
        <v>1</v>
      </c>
      <c r="P328" s="117" t="str">
        <f t="shared" si="15"/>
        <v/>
      </c>
    </row>
    <row r="329" spans="2:16" ht="16.5" x14ac:dyDescent="0.45">
      <c r="B329" s="10" t="s">
        <v>535</v>
      </c>
      <c r="F329" s="7">
        <v>1147</v>
      </c>
      <c r="G329" s="112">
        <v>225</v>
      </c>
      <c r="H329" s="10"/>
      <c r="I329" s="71" t="b">
        <v>1</v>
      </c>
      <c r="J329" s="76">
        <v>46025</v>
      </c>
      <c r="O329" s="72" t="b">
        <v>1</v>
      </c>
      <c r="P329" s="117" t="str">
        <f t="shared" si="15"/>
        <v/>
      </c>
    </row>
    <row r="330" spans="2:16" ht="16.5" x14ac:dyDescent="0.45">
      <c r="B330" s="10" t="s">
        <v>536</v>
      </c>
      <c r="F330" s="7">
        <v>1148</v>
      </c>
      <c r="G330" s="112">
        <v>225</v>
      </c>
      <c r="H330" s="10"/>
      <c r="I330" s="71" t="b">
        <v>1</v>
      </c>
      <c r="J330" s="76">
        <v>46025</v>
      </c>
      <c r="O330" s="72" t="b">
        <v>0</v>
      </c>
      <c r="P330" s="117" t="str">
        <f t="shared" si="15"/>
        <v/>
      </c>
    </row>
    <row r="331" spans="2:16" ht="16.5" x14ac:dyDescent="0.45">
      <c r="B331" s="10" t="s">
        <v>536</v>
      </c>
      <c r="F331" s="7">
        <v>1149</v>
      </c>
      <c r="G331" s="112">
        <v>225</v>
      </c>
      <c r="H331" s="10"/>
      <c r="I331" s="71" t="b">
        <v>1</v>
      </c>
      <c r="J331" s="76">
        <v>46025</v>
      </c>
      <c r="O331" s="72" t="b">
        <v>0</v>
      </c>
      <c r="P331" s="117" t="str">
        <f t="shared" si="15"/>
        <v/>
      </c>
    </row>
    <row r="332" spans="2:16" ht="16.5" x14ac:dyDescent="0.45">
      <c r="B332" s="10" t="s">
        <v>537</v>
      </c>
      <c r="F332" s="7">
        <v>1150</v>
      </c>
      <c r="G332" s="112">
        <v>225</v>
      </c>
      <c r="H332" s="10"/>
      <c r="I332" s="71" t="b">
        <v>1</v>
      </c>
      <c r="J332" s="76">
        <v>46026</v>
      </c>
      <c r="O332" s="72" t="b">
        <v>0</v>
      </c>
      <c r="P332" s="117" t="str">
        <f t="shared" si="15"/>
        <v/>
      </c>
    </row>
    <row r="333" spans="2:16" ht="16.5" x14ac:dyDescent="0.45">
      <c r="B333" s="10" t="s">
        <v>538</v>
      </c>
      <c r="F333" s="7">
        <v>1151</v>
      </c>
      <c r="G333" s="112">
        <v>225</v>
      </c>
      <c r="H333" s="10"/>
      <c r="I333" s="71" t="b">
        <v>1</v>
      </c>
      <c r="J333" s="76">
        <v>46026</v>
      </c>
      <c r="O333" s="72" t="b">
        <v>1</v>
      </c>
      <c r="P333" s="117" t="str">
        <f t="shared" si="15"/>
        <v/>
      </c>
    </row>
    <row r="334" spans="2:16" ht="16.5" x14ac:dyDescent="0.45">
      <c r="B334" s="10" t="s">
        <v>539</v>
      </c>
      <c r="F334" s="7">
        <v>1152</v>
      </c>
      <c r="G334" s="112">
        <v>225</v>
      </c>
      <c r="H334" s="10"/>
      <c r="I334" s="71" t="b">
        <v>1</v>
      </c>
      <c r="J334" s="76">
        <v>46026</v>
      </c>
      <c r="O334" s="72" t="b">
        <v>0</v>
      </c>
      <c r="P334" s="117" t="str">
        <f t="shared" si="15"/>
        <v/>
      </c>
    </row>
    <row r="335" spans="2:16" ht="16.5" x14ac:dyDescent="0.45">
      <c r="B335" s="10" t="s">
        <v>540</v>
      </c>
      <c r="F335" s="7">
        <v>1153</v>
      </c>
      <c r="G335" s="112">
        <v>225</v>
      </c>
      <c r="H335" s="10"/>
      <c r="I335" s="71" t="b">
        <v>1</v>
      </c>
      <c r="J335" s="76">
        <v>46026</v>
      </c>
      <c r="O335" s="72" t="b">
        <v>1</v>
      </c>
      <c r="P335" s="117" t="str">
        <f t="shared" si="15"/>
        <v/>
      </c>
    </row>
    <row r="336" spans="2:16" ht="16.5" x14ac:dyDescent="0.45">
      <c r="B336" s="10" t="s">
        <v>541</v>
      </c>
      <c r="F336" s="7">
        <v>1154</v>
      </c>
      <c r="G336" s="112">
        <v>225</v>
      </c>
      <c r="H336" s="10"/>
      <c r="I336" s="71" t="b">
        <v>1</v>
      </c>
      <c r="J336" s="76">
        <v>46026</v>
      </c>
      <c r="O336" s="72" t="b">
        <v>0</v>
      </c>
      <c r="P336" s="117" t="str">
        <f t="shared" si="15"/>
        <v/>
      </c>
    </row>
    <row r="337" spans="2:16" ht="16.5" x14ac:dyDescent="0.45">
      <c r="B337" s="10" t="s">
        <v>541</v>
      </c>
      <c r="F337" s="7">
        <v>1155</v>
      </c>
      <c r="G337" s="112">
        <v>225</v>
      </c>
      <c r="H337" s="10"/>
      <c r="I337" s="71" t="b">
        <v>1</v>
      </c>
      <c r="J337" s="76">
        <v>46026</v>
      </c>
      <c r="O337" s="72" t="b">
        <v>0</v>
      </c>
      <c r="P337" s="117" t="str">
        <f t="shared" si="15"/>
        <v/>
      </c>
    </row>
    <row r="338" spans="2:16" ht="16.5" x14ac:dyDescent="0.45">
      <c r="B338" s="10" t="s">
        <v>541</v>
      </c>
      <c r="F338" s="7">
        <v>1156</v>
      </c>
      <c r="G338" s="112">
        <v>225</v>
      </c>
      <c r="H338" s="10"/>
      <c r="I338" s="71" t="b">
        <v>1</v>
      </c>
      <c r="J338" s="76">
        <v>46026</v>
      </c>
      <c r="O338" s="72" t="b">
        <v>1</v>
      </c>
      <c r="P338" s="117" t="str">
        <f t="shared" si="15"/>
        <v/>
      </c>
    </row>
    <row r="339" spans="2:16" ht="16.5" x14ac:dyDescent="0.45">
      <c r="B339" s="10" t="s">
        <v>542</v>
      </c>
      <c r="F339" s="7">
        <v>1157</v>
      </c>
      <c r="G339" s="112">
        <v>225</v>
      </c>
      <c r="H339" s="10"/>
      <c r="I339" s="71" t="b">
        <v>1</v>
      </c>
      <c r="J339" s="76">
        <v>46026</v>
      </c>
      <c r="O339" s="72" t="b">
        <v>1</v>
      </c>
      <c r="P339" s="117" t="str">
        <f t="shared" si="15"/>
        <v/>
      </c>
    </row>
    <row r="340" spans="2:16" ht="16.5" x14ac:dyDescent="0.45">
      <c r="B340" s="10" t="s">
        <v>543</v>
      </c>
      <c r="F340" s="7">
        <v>1158</v>
      </c>
      <c r="G340" s="112">
        <v>225</v>
      </c>
      <c r="H340" s="10"/>
      <c r="I340" s="71" t="b">
        <v>1</v>
      </c>
      <c r="J340" s="76">
        <v>46027</v>
      </c>
      <c r="O340" s="72" t="b">
        <v>1</v>
      </c>
      <c r="P340" s="117" t="str">
        <f t="shared" si="15"/>
        <v/>
      </c>
    </row>
    <row r="341" spans="2:16" ht="16.5" x14ac:dyDescent="0.45">
      <c r="B341" s="10" t="s">
        <v>544</v>
      </c>
      <c r="F341" s="7">
        <v>1159</v>
      </c>
      <c r="G341" s="112">
        <v>225</v>
      </c>
      <c r="H341" s="10"/>
      <c r="I341" s="71" t="b">
        <v>1</v>
      </c>
      <c r="J341" s="76">
        <v>46027</v>
      </c>
      <c r="O341" s="72" t="b">
        <v>1</v>
      </c>
      <c r="P341" s="117" t="str">
        <f t="shared" si="15"/>
        <v/>
      </c>
    </row>
    <row r="342" spans="2:16" ht="16.5" x14ac:dyDescent="0.45">
      <c r="B342" s="10" t="s">
        <v>545</v>
      </c>
      <c r="F342" s="7">
        <v>1160</v>
      </c>
      <c r="G342" s="112">
        <v>225</v>
      </c>
      <c r="H342" s="10"/>
      <c r="I342" s="71" t="b">
        <v>1</v>
      </c>
      <c r="J342" s="76">
        <v>46027</v>
      </c>
      <c r="O342" s="72" t="b">
        <v>1</v>
      </c>
      <c r="P342" s="117" t="str">
        <f t="shared" si="15"/>
        <v/>
      </c>
    </row>
    <row r="343" spans="2:16" ht="16.5" x14ac:dyDescent="0.45">
      <c r="B343" s="10" t="s">
        <v>546</v>
      </c>
      <c r="F343" s="7">
        <v>1161</v>
      </c>
      <c r="G343" s="112">
        <v>225</v>
      </c>
      <c r="H343" s="10"/>
      <c r="I343" s="71" t="b">
        <v>1</v>
      </c>
      <c r="J343" s="76">
        <v>46027</v>
      </c>
      <c r="O343" s="72" t="b">
        <v>0</v>
      </c>
      <c r="P343" s="117" t="str">
        <f t="shared" si="15"/>
        <v/>
      </c>
    </row>
    <row r="344" spans="2:16" ht="16.5" x14ac:dyDescent="0.45">
      <c r="B344" s="10" t="s">
        <v>547</v>
      </c>
      <c r="F344" s="7">
        <v>1162</v>
      </c>
      <c r="G344" s="112">
        <v>225</v>
      </c>
      <c r="H344" s="10"/>
      <c r="I344" s="71" t="b">
        <v>1</v>
      </c>
      <c r="J344" s="76">
        <v>46027</v>
      </c>
      <c r="O344" s="72" t="b">
        <v>1</v>
      </c>
      <c r="P344" s="117" t="str">
        <f t="shared" si="15"/>
        <v/>
      </c>
    </row>
    <row r="345" spans="2:16" ht="16.5" x14ac:dyDescent="0.45">
      <c r="B345" s="10" t="s">
        <v>548</v>
      </c>
      <c r="F345" s="7">
        <v>1163</v>
      </c>
      <c r="G345" s="112">
        <v>225</v>
      </c>
      <c r="H345" s="10"/>
      <c r="I345" s="71" t="b">
        <v>1</v>
      </c>
      <c r="J345" s="76">
        <v>46027</v>
      </c>
      <c r="O345" s="72" t="b">
        <v>0</v>
      </c>
      <c r="P345" s="117" t="str">
        <f t="shared" si="15"/>
        <v/>
      </c>
    </row>
    <row r="346" spans="2:16" ht="16.5" x14ac:dyDescent="0.45">
      <c r="B346" s="10" t="s">
        <v>549</v>
      </c>
      <c r="F346" s="7">
        <v>1164</v>
      </c>
      <c r="G346" s="112">
        <v>225</v>
      </c>
      <c r="H346" s="10"/>
      <c r="I346" s="71" t="b">
        <v>1</v>
      </c>
      <c r="J346" s="76">
        <v>46027</v>
      </c>
      <c r="O346" s="72" t="b">
        <v>1</v>
      </c>
      <c r="P346" s="117" t="str">
        <f t="shared" si="15"/>
        <v/>
      </c>
    </row>
    <row r="347" spans="2:16" ht="16.5" x14ac:dyDescent="0.45">
      <c r="B347" s="10" t="s">
        <v>550</v>
      </c>
      <c r="F347" s="7">
        <v>1165</v>
      </c>
      <c r="G347" s="112">
        <v>225</v>
      </c>
      <c r="H347" s="10"/>
      <c r="I347" s="71" t="b">
        <v>1</v>
      </c>
      <c r="J347" s="76">
        <v>46027</v>
      </c>
      <c r="O347" s="72" t="b">
        <v>0</v>
      </c>
      <c r="P347" s="117" t="str">
        <f t="shared" si="15"/>
        <v/>
      </c>
    </row>
    <row r="348" spans="2:16" ht="16.5" x14ac:dyDescent="0.45">
      <c r="B348" s="10" t="s">
        <v>551</v>
      </c>
      <c r="F348" s="7">
        <v>1166</v>
      </c>
      <c r="G348" s="112">
        <v>225</v>
      </c>
      <c r="H348" s="10"/>
      <c r="I348" s="71" t="b">
        <v>1</v>
      </c>
      <c r="J348" s="76">
        <v>46028</v>
      </c>
      <c r="O348" s="72" t="b">
        <v>1</v>
      </c>
      <c r="P348" s="117" t="str">
        <f t="shared" si="15"/>
        <v/>
      </c>
    </row>
    <row r="349" spans="2:16" ht="16.5" x14ac:dyDescent="0.45">
      <c r="B349" s="10" t="s">
        <v>552</v>
      </c>
      <c r="F349" s="7">
        <v>1167</v>
      </c>
      <c r="G349" s="112">
        <v>225</v>
      </c>
      <c r="H349" s="10"/>
      <c r="I349" s="71" t="b">
        <v>1</v>
      </c>
      <c r="J349" s="76">
        <v>46029</v>
      </c>
      <c r="O349" s="72" t="b">
        <v>1</v>
      </c>
      <c r="P349" s="117" t="str">
        <f t="shared" si="15"/>
        <v/>
      </c>
    </row>
    <row r="350" spans="2:16" ht="16.5" x14ac:dyDescent="0.45">
      <c r="B350" s="10" t="s">
        <v>553</v>
      </c>
      <c r="F350" s="7">
        <v>1168</v>
      </c>
      <c r="G350" s="112">
        <v>225</v>
      </c>
      <c r="H350" s="10"/>
      <c r="I350" s="71" t="b">
        <v>1</v>
      </c>
      <c r="J350" s="76">
        <v>46029</v>
      </c>
      <c r="O350" s="72" t="b">
        <v>1</v>
      </c>
      <c r="P350" s="117" t="str">
        <f t="shared" si="15"/>
        <v/>
      </c>
    </row>
    <row r="351" spans="2:16" ht="16.5" x14ac:dyDescent="0.45">
      <c r="B351" s="10" t="s">
        <v>554</v>
      </c>
      <c r="F351" s="7">
        <v>1169</v>
      </c>
      <c r="G351" s="112">
        <v>225</v>
      </c>
      <c r="H351" s="10"/>
      <c r="I351" s="71" t="b">
        <v>1</v>
      </c>
      <c r="J351" s="76">
        <v>46029</v>
      </c>
      <c r="O351" s="72" t="b">
        <v>1</v>
      </c>
      <c r="P351" s="117" t="str">
        <f t="shared" si="15"/>
        <v/>
      </c>
    </row>
    <row r="352" spans="2:16" ht="82.5" x14ac:dyDescent="0.45">
      <c r="B352" s="10" t="s">
        <v>555</v>
      </c>
      <c r="F352" s="7">
        <v>1170</v>
      </c>
      <c r="G352" s="9">
        <v>450</v>
      </c>
      <c r="H352" s="10" t="s">
        <v>738</v>
      </c>
      <c r="I352" s="71" t="b">
        <v>1</v>
      </c>
      <c r="J352" s="76">
        <v>46032</v>
      </c>
      <c r="O352" s="72" t="b">
        <v>1</v>
      </c>
      <c r="P352" s="117" t="str">
        <f t="shared" si="15"/>
        <v/>
      </c>
    </row>
    <row r="353" spans="2:16" ht="16.5" x14ac:dyDescent="0.45">
      <c r="B353" s="10" t="s">
        <v>556</v>
      </c>
      <c r="F353" s="7">
        <v>1171</v>
      </c>
      <c r="G353" s="112">
        <v>225</v>
      </c>
      <c r="H353" s="10"/>
      <c r="I353" s="71" t="b">
        <v>1</v>
      </c>
      <c r="J353" s="76">
        <v>46034</v>
      </c>
      <c r="O353" s="72" t="b">
        <v>0</v>
      </c>
      <c r="P353" s="117" t="str">
        <f t="shared" si="15"/>
        <v/>
      </c>
    </row>
    <row r="354" spans="2:16" ht="16.5" x14ac:dyDescent="0.45">
      <c r="B354" s="10" t="s">
        <v>557</v>
      </c>
      <c r="F354" s="7">
        <v>1172</v>
      </c>
      <c r="G354" s="112">
        <v>225</v>
      </c>
      <c r="H354" s="10"/>
      <c r="I354" s="71" t="b">
        <v>1</v>
      </c>
      <c r="J354" s="76">
        <v>46035</v>
      </c>
      <c r="O354" s="72" t="b">
        <v>1</v>
      </c>
      <c r="P354" s="117" t="str">
        <f t="shared" si="15"/>
        <v/>
      </c>
    </row>
    <row r="355" spans="2:16" ht="16.5" x14ac:dyDescent="0.45">
      <c r="B355" s="10" t="s">
        <v>558</v>
      </c>
      <c r="F355" s="7">
        <v>1173</v>
      </c>
      <c r="G355" s="112">
        <v>225</v>
      </c>
      <c r="H355" s="10"/>
      <c r="I355" s="71" t="b">
        <v>1</v>
      </c>
      <c r="J355" s="76">
        <v>46035</v>
      </c>
      <c r="O355" s="72" t="b">
        <v>1</v>
      </c>
      <c r="P355" s="117" t="str">
        <f t="shared" si="15"/>
        <v/>
      </c>
    </row>
    <row r="356" spans="2:16" ht="16.5" x14ac:dyDescent="0.45">
      <c r="B356" s="10" t="s">
        <v>547</v>
      </c>
      <c r="F356" s="7">
        <v>1174</v>
      </c>
      <c r="G356" s="112">
        <v>225</v>
      </c>
      <c r="H356" s="10"/>
      <c r="I356" s="71" t="b">
        <v>1</v>
      </c>
      <c r="J356" s="76">
        <v>46036</v>
      </c>
      <c r="O356" s="72" t="b">
        <v>0</v>
      </c>
      <c r="P356" s="117" t="str">
        <f t="shared" si="15"/>
        <v/>
      </c>
    </row>
    <row r="357" spans="2:16" ht="16.5" x14ac:dyDescent="0.45">
      <c r="B357" s="10" t="s">
        <v>559</v>
      </c>
      <c r="F357" s="7">
        <v>1175</v>
      </c>
      <c r="G357" s="112">
        <v>225</v>
      </c>
      <c r="H357" s="10"/>
      <c r="I357" s="71" t="b">
        <v>1</v>
      </c>
      <c r="J357" s="76">
        <v>46039</v>
      </c>
      <c r="O357" s="72" t="b">
        <v>1</v>
      </c>
      <c r="P357" s="117" t="str">
        <f t="shared" si="15"/>
        <v/>
      </c>
    </row>
    <row r="358" spans="2:16" ht="16.5" x14ac:dyDescent="0.45">
      <c r="B358" s="10" t="s">
        <v>560</v>
      </c>
      <c r="F358" s="7">
        <v>1176</v>
      </c>
      <c r="G358" s="112">
        <v>225</v>
      </c>
      <c r="H358" s="10"/>
      <c r="I358" s="71" t="b">
        <v>1</v>
      </c>
      <c r="J358" s="76">
        <v>46039</v>
      </c>
      <c r="O358" s="72" t="b">
        <v>0</v>
      </c>
      <c r="P358" s="117" t="str">
        <f t="shared" si="15"/>
        <v/>
      </c>
    </row>
    <row r="359" spans="2:16" ht="16.5" x14ac:dyDescent="0.45">
      <c r="B359" s="10" t="s">
        <v>413</v>
      </c>
      <c r="F359" s="7">
        <v>1177</v>
      </c>
      <c r="G359" s="112">
        <v>225</v>
      </c>
      <c r="H359" s="10"/>
      <c r="I359" s="71" t="b">
        <v>1</v>
      </c>
      <c r="J359" s="76">
        <v>46039</v>
      </c>
      <c r="O359" s="72" t="b">
        <v>0</v>
      </c>
      <c r="P359" s="117" t="str">
        <f t="shared" si="15"/>
        <v/>
      </c>
    </row>
    <row r="360" spans="2:16" ht="16.5" x14ac:dyDescent="0.45">
      <c r="B360" s="10" t="s">
        <v>401</v>
      </c>
      <c r="F360" s="7">
        <v>1178</v>
      </c>
      <c r="G360" s="112">
        <v>225</v>
      </c>
      <c r="H360" s="10"/>
      <c r="I360" s="71" t="b">
        <v>1</v>
      </c>
      <c r="J360" s="76">
        <v>46042</v>
      </c>
      <c r="O360" s="72" t="b">
        <v>0</v>
      </c>
      <c r="P360" s="117" t="str">
        <f t="shared" si="15"/>
        <v/>
      </c>
    </row>
    <row r="361" spans="2:16" ht="16.5" x14ac:dyDescent="0.45">
      <c r="B361" s="10" t="s">
        <v>561</v>
      </c>
      <c r="F361" s="7">
        <v>1179</v>
      </c>
      <c r="G361" s="112">
        <v>225</v>
      </c>
      <c r="H361" s="10"/>
      <c r="I361" s="71" t="b">
        <v>1</v>
      </c>
      <c r="J361" s="76">
        <v>46043</v>
      </c>
      <c r="O361" s="72" t="b">
        <v>1</v>
      </c>
      <c r="P361" s="117" t="str">
        <f t="shared" si="15"/>
        <v/>
      </c>
    </row>
    <row r="362" spans="2:16" ht="16.5" x14ac:dyDescent="0.45">
      <c r="B362" s="10" t="s">
        <v>562</v>
      </c>
      <c r="F362" s="7">
        <v>1180</v>
      </c>
      <c r="G362" s="112">
        <v>225</v>
      </c>
      <c r="H362" s="10"/>
      <c r="I362" s="71" t="b">
        <v>1</v>
      </c>
      <c r="J362" s="76">
        <v>46043</v>
      </c>
      <c r="O362" s="72" t="b">
        <v>1</v>
      </c>
      <c r="P362" s="117" t="str">
        <f t="shared" si="15"/>
        <v/>
      </c>
    </row>
    <row r="363" spans="2:16" ht="16.5" x14ac:dyDescent="0.45">
      <c r="B363" s="10" t="s">
        <v>563</v>
      </c>
      <c r="F363" s="7">
        <v>1181</v>
      </c>
      <c r="G363" s="112">
        <v>225</v>
      </c>
      <c r="H363" s="10"/>
      <c r="I363" s="71" t="b">
        <v>1</v>
      </c>
      <c r="J363" s="76">
        <v>46043</v>
      </c>
      <c r="O363" s="72" t="b">
        <v>1</v>
      </c>
      <c r="P363" s="117" t="str">
        <f t="shared" si="15"/>
        <v/>
      </c>
    </row>
    <row r="364" spans="2:16" ht="16.5" x14ac:dyDescent="0.45">
      <c r="B364" s="10" t="s">
        <v>564</v>
      </c>
      <c r="F364" s="7">
        <v>1182</v>
      </c>
      <c r="G364" s="112">
        <v>225</v>
      </c>
      <c r="H364" s="10"/>
      <c r="I364" s="71" t="b">
        <v>1</v>
      </c>
      <c r="J364" s="76">
        <v>46044</v>
      </c>
      <c r="O364" s="72" t="b">
        <v>1</v>
      </c>
      <c r="P364" s="117" t="str">
        <f t="shared" si="15"/>
        <v/>
      </c>
    </row>
    <row r="365" spans="2:16" ht="16.5" x14ac:dyDescent="0.45">
      <c r="B365" s="10" t="s">
        <v>565</v>
      </c>
      <c r="F365" s="7">
        <v>1183</v>
      </c>
      <c r="G365" s="112">
        <v>225</v>
      </c>
      <c r="H365" s="10"/>
      <c r="I365" s="71" t="b">
        <v>1</v>
      </c>
      <c r="J365" s="76">
        <v>46045</v>
      </c>
      <c r="O365" s="72" t="b">
        <v>1</v>
      </c>
      <c r="P365" s="117" t="str">
        <f t="shared" si="15"/>
        <v/>
      </c>
    </row>
    <row r="366" spans="2:16" ht="99" x14ac:dyDescent="0.45">
      <c r="B366" s="10" t="s">
        <v>566</v>
      </c>
      <c r="F366" s="7">
        <v>1184</v>
      </c>
      <c r="G366" s="9">
        <v>450</v>
      </c>
      <c r="H366" s="10" t="s">
        <v>739</v>
      </c>
      <c r="I366" s="71" t="b">
        <v>1</v>
      </c>
      <c r="J366" s="76">
        <v>46050</v>
      </c>
      <c r="O366" s="72" t="b">
        <v>1</v>
      </c>
      <c r="P366" s="117" t="str">
        <f t="shared" si="15"/>
        <v/>
      </c>
    </row>
    <row r="367" spans="2:16" ht="16.5" x14ac:dyDescent="0.45">
      <c r="B367" s="10" t="s">
        <v>567</v>
      </c>
      <c r="F367" s="7">
        <v>1185</v>
      </c>
      <c r="G367" s="9">
        <v>450</v>
      </c>
      <c r="H367" s="10"/>
      <c r="I367" s="71" t="b">
        <v>1</v>
      </c>
      <c r="J367" s="76">
        <v>46051</v>
      </c>
      <c r="O367" s="72" t="b">
        <v>1</v>
      </c>
      <c r="P367" s="117" t="str">
        <f t="shared" si="15"/>
        <v/>
      </c>
    </row>
    <row r="368" spans="2:16" ht="16.5" x14ac:dyDescent="0.45">
      <c r="B368" s="10" t="s">
        <v>568</v>
      </c>
      <c r="F368" s="7">
        <v>1186</v>
      </c>
      <c r="G368" s="112">
        <v>225</v>
      </c>
      <c r="H368" s="10"/>
      <c r="I368" s="71" t="b">
        <v>1</v>
      </c>
      <c r="J368" s="75">
        <v>46052</v>
      </c>
      <c r="O368" s="72" t="b">
        <v>1</v>
      </c>
      <c r="P368" s="26" t="str">
        <f t="shared" si="15"/>
        <v/>
      </c>
    </row>
    <row r="369" spans="2:16" ht="16.5" x14ac:dyDescent="0.45">
      <c r="B369" s="10" t="s">
        <v>569</v>
      </c>
      <c r="F369" s="7">
        <v>1187</v>
      </c>
      <c r="G369" s="112">
        <v>225</v>
      </c>
      <c r="H369" s="10"/>
      <c r="I369" s="71" t="b">
        <v>1</v>
      </c>
      <c r="J369" s="75">
        <v>46052</v>
      </c>
      <c r="O369" s="72" t="b">
        <v>1</v>
      </c>
      <c r="P369" s="26" t="str">
        <f t="shared" si="15"/>
        <v/>
      </c>
    </row>
    <row r="370" spans="2:16" ht="16.5" x14ac:dyDescent="0.45">
      <c r="B370" s="10" t="s">
        <v>570</v>
      </c>
      <c r="F370" s="7">
        <v>1188</v>
      </c>
      <c r="G370" s="112">
        <v>225</v>
      </c>
      <c r="H370" s="10"/>
      <c r="I370" s="71" t="b">
        <v>1</v>
      </c>
      <c r="J370" s="75">
        <v>46052</v>
      </c>
      <c r="O370" s="72" t="b">
        <v>1</v>
      </c>
      <c r="P370" s="26" t="str">
        <f t="shared" si="15"/>
        <v/>
      </c>
    </row>
    <row r="371" spans="2:16" ht="16.5" x14ac:dyDescent="0.45">
      <c r="B371" s="10" t="s">
        <v>571</v>
      </c>
      <c r="F371" s="7">
        <v>1189</v>
      </c>
      <c r="G371" s="112">
        <v>225</v>
      </c>
      <c r="H371" s="10"/>
      <c r="I371" s="71" t="b">
        <v>1</v>
      </c>
      <c r="J371" s="75">
        <v>46054</v>
      </c>
      <c r="O371" s="72" t="b">
        <v>0</v>
      </c>
      <c r="P371" s="26" t="str">
        <f t="shared" si="15"/>
        <v/>
      </c>
    </row>
    <row r="372" spans="2:16" ht="16.5" x14ac:dyDescent="0.45">
      <c r="B372" s="10" t="s">
        <v>572</v>
      </c>
      <c r="F372" s="7">
        <v>1190</v>
      </c>
      <c r="G372" s="112">
        <v>225</v>
      </c>
      <c r="H372" s="10"/>
      <c r="I372" s="71" t="b">
        <v>1</v>
      </c>
      <c r="J372" s="75">
        <v>46055</v>
      </c>
      <c r="O372" s="72" t="b">
        <v>1</v>
      </c>
      <c r="P372" s="26" t="str">
        <f t="shared" si="15"/>
        <v/>
      </c>
    </row>
    <row r="373" spans="2:16" ht="16.5" x14ac:dyDescent="0.45">
      <c r="B373" s="10" t="s">
        <v>573</v>
      </c>
      <c r="F373" s="7">
        <v>1191</v>
      </c>
      <c r="G373" s="112">
        <v>225</v>
      </c>
      <c r="H373" s="10"/>
      <c r="I373" s="71" t="b">
        <v>1</v>
      </c>
      <c r="J373" s="75">
        <v>46056</v>
      </c>
      <c r="O373" s="72" t="b">
        <v>0</v>
      </c>
      <c r="P373" s="26" t="str">
        <f t="shared" si="15"/>
        <v/>
      </c>
    </row>
    <row r="374" spans="2:16" ht="16.5" x14ac:dyDescent="0.45">
      <c r="B374" s="10" t="s">
        <v>574</v>
      </c>
      <c r="F374" s="7">
        <v>1192</v>
      </c>
      <c r="G374" s="112">
        <v>225</v>
      </c>
      <c r="H374" s="10"/>
      <c r="I374" s="71" t="b">
        <v>1</v>
      </c>
      <c r="J374" s="75">
        <v>46059</v>
      </c>
      <c r="O374" s="72" t="b">
        <v>1</v>
      </c>
      <c r="P374" s="26" t="str">
        <f t="shared" si="15"/>
        <v/>
      </c>
    </row>
    <row r="375" spans="2:16" ht="16.5" x14ac:dyDescent="0.45">
      <c r="B375" s="10" t="s">
        <v>575</v>
      </c>
      <c r="F375" s="7">
        <v>1193</v>
      </c>
      <c r="G375" s="112">
        <v>225</v>
      </c>
      <c r="H375" s="10"/>
      <c r="I375" s="71" t="b">
        <v>1</v>
      </c>
      <c r="J375" s="75">
        <v>46061</v>
      </c>
      <c r="O375" s="72" t="b">
        <v>1</v>
      </c>
      <c r="P375" s="26" t="str">
        <f t="shared" si="15"/>
        <v/>
      </c>
    </row>
    <row r="376" spans="2:16" ht="16.5" x14ac:dyDescent="0.45">
      <c r="B376" s="10" t="s">
        <v>576</v>
      </c>
      <c r="F376" s="7">
        <v>1194</v>
      </c>
      <c r="G376" s="112">
        <v>225</v>
      </c>
      <c r="H376" s="10"/>
      <c r="I376" s="71" t="b">
        <v>1</v>
      </c>
      <c r="J376" s="75">
        <v>46062</v>
      </c>
      <c r="O376" s="72" t="b">
        <v>0</v>
      </c>
      <c r="P376" s="26" t="str">
        <f t="shared" si="15"/>
        <v/>
      </c>
    </row>
    <row r="377" spans="2:16" ht="16.5" x14ac:dyDescent="0.45">
      <c r="B377" s="10" t="s">
        <v>577</v>
      </c>
      <c r="F377" s="7">
        <v>1195</v>
      </c>
      <c r="G377" s="112">
        <v>225</v>
      </c>
      <c r="H377" s="10"/>
      <c r="I377" s="71" t="b">
        <v>1</v>
      </c>
      <c r="J377" s="75">
        <v>46064</v>
      </c>
      <c r="O377" s="72" t="b">
        <v>1</v>
      </c>
      <c r="P377" s="26" t="str">
        <f t="shared" si="15"/>
        <v/>
      </c>
    </row>
    <row r="378" spans="2:16" ht="16.5" x14ac:dyDescent="0.45">
      <c r="B378" s="10" t="s">
        <v>578</v>
      </c>
      <c r="F378" s="7">
        <v>1196</v>
      </c>
      <c r="G378" s="112">
        <v>225</v>
      </c>
      <c r="H378" s="10"/>
      <c r="I378" s="71" t="b">
        <v>1</v>
      </c>
      <c r="J378" s="75">
        <v>46064</v>
      </c>
      <c r="O378" s="72" t="b">
        <v>1</v>
      </c>
      <c r="P378" s="26" t="str">
        <f t="shared" si="15"/>
        <v/>
      </c>
    </row>
    <row r="379" spans="2:16" ht="16.5" x14ac:dyDescent="0.45">
      <c r="B379" s="10" t="s">
        <v>579</v>
      </c>
      <c r="F379" s="7">
        <v>1197</v>
      </c>
      <c r="G379" s="112">
        <v>225</v>
      </c>
      <c r="H379" s="10"/>
      <c r="I379" s="71" t="b">
        <v>1</v>
      </c>
      <c r="J379" s="76">
        <v>46064</v>
      </c>
      <c r="O379" s="72" t="b">
        <v>1</v>
      </c>
      <c r="P379" s="26" t="str">
        <f t="shared" si="15"/>
        <v/>
      </c>
    </row>
    <row r="380" spans="2:16" ht="16.5" x14ac:dyDescent="0.45">
      <c r="B380" s="10" t="s">
        <v>580</v>
      </c>
      <c r="F380" s="7">
        <v>1198</v>
      </c>
      <c r="G380" s="112">
        <v>225</v>
      </c>
      <c r="H380" s="10"/>
      <c r="I380" s="71" t="b">
        <v>1</v>
      </c>
      <c r="J380" s="75">
        <v>46066</v>
      </c>
      <c r="O380" s="72" t="b">
        <v>1</v>
      </c>
      <c r="P380" s="26" t="str">
        <f t="shared" si="15"/>
        <v/>
      </c>
    </row>
    <row r="381" spans="2:16" ht="16.5" x14ac:dyDescent="0.45">
      <c r="B381" s="10" t="s">
        <v>581</v>
      </c>
      <c r="F381" s="7">
        <v>1199</v>
      </c>
      <c r="G381" s="112">
        <v>225</v>
      </c>
      <c r="H381" s="10"/>
      <c r="I381" s="71" t="b">
        <v>1</v>
      </c>
      <c r="J381" s="75">
        <v>46067</v>
      </c>
      <c r="O381" s="72" t="b">
        <v>1</v>
      </c>
      <c r="P381" s="26" t="str">
        <f t="shared" si="15"/>
        <v/>
      </c>
    </row>
    <row r="382" spans="2:16" ht="16.5" x14ac:dyDescent="0.45">
      <c r="B382" s="10" t="s">
        <v>582</v>
      </c>
      <c r="F382" s="7">
        <v>1200</v>
      </c>
      <c r="G382" s="112">
        <v>225</v>
      </c>
      <c r="H382" s="10"/>
      <c r="I382" s="71" t="b">
        <v>1</v>
      </c>
      <c r="J382" s="75">
        <v>46070</v>
      </c>
      <c r="O382" s="72" t="b">
        <v>0</v>
      </c>
      <c r="P382" s="26" t="str">
        <f t="shared" si="15"/>
        <v/>
      </c>
    </row>
    <row r="383" spans="2:16" ht="16.5" x14ac:dyDescent="0.45">
      <c r="B383" s="10" t="s">
        <v>583</v>
      </c>
      <c r="F383" s="7">
        <v>1201</v>
      </c>
      <c r="G383" s="112">
        <v>225</v>
      </c>
      <c r="H383" s="10"/>
      <c r="I383" s="71" t="b">
        <v>1</v>
      </c>
      <c r="J383" s="76">
        <v>46071</v>
      </c>
      <c r="O383" s="72" t="b">
        <v>0</v>
      </c>
      <c r="P383" s="26" t="str">
        <f t="shared" si="15"/>
        <v/>
      </c>
    </row>
    <row r="384" spans="2:16" ht="16.5" x14ac:dyDescent="0.45">
      <c r="B384" s="10" t="s">
        <v>584</v>
      </c>
      <c r="F384" s="7">
        <v>1202</v>
      </c>
      <c r="G384" s="112">
        <v>225</v>
      </c>
      <c r="H384" s="10"/>
      <c r="I384" s="71" t="b">
        <v>1</v>
      </c>
      <c r="J384" s="76">
        <v>46071</v>
      </c>
      <c r="O384" s="72" t="b">
        <v>1</v>
      </c>
      <c r="P384" s="26" t="str">
        <f t="shared" si="15"/>
        <v/>
      </c>
    </row>
    <row r="385" spans="2:16" ht="16.5" x14ac:dyDescent="0.45">
      <c r="B385" s="10" t="s">
        <v>585</v>
      </c>
      <c r="F385" s="7">
        <v>1203</v>
      </c>
      <c r="G385" s="112">
        <v>225</v>
      </c>
      <c r="H385" s="10"/>
      <c r="I385" s="71" t="b">
        <v>1</v>
      </c>
      <c r="J385" s="80">
        <v>46075</v>
      </c>
      <c r="O385" s="72" t="b">
        <v>1</v>
      </c>
      <c r="P385" s="26" t="str">
        <f t="shared" si="15"/>
        <v/>
      </c>
    </row>
    <row r="386" spans="2:16" ht="16.5" x14ac:dyDescent="0.45">
      <c r="B386" s="10" t="s">
        <v>586</v>
      </c>
      <c r="F386" s="7">
        <v>1204</v>
      </c>
      <c r="G386" s="112">
        <v>225</v>
      </c>
      <c r="H386" s="10"/>
      <c r="I386" s="71" t="b">
        <v>1</v>
      </c>
      <c r="J386" s="75">
        <v>46076</v>
      </c>
      <c r="O386" s="72" t="b">
        <v>1</v>
      </c>
      <c r="P386" s="26" t="str">
        <f t="shared" si="15"/>
        <v/>
      </c>
    </row>
    <row r="387" spans="2:16" ht="16.5" x14ac:dyDescent="0.45">
      <c r="B387" s="10" t="s">
        <v>587</v>
      </c>
      <c r="F387" s="7">
        <v>1205</v>
      </c>
      <c r="G387" s="112">
        <v>225</v>
      </c>
      <c r="H387" s="10"/>
      <c r="I387" s="71" t="b">
        <v>1</v>
      </c>
      <c r="J387" s="75">
        <v>46078</v>
      </c>
      <c r="O387" s="72" t="b">
        <v>0</v>
      </c>
      <c r="P387" s="26" t="str">
        <f t="shared" si="15"/>
        <v/>
      </c>
    </row>
    <row r="388" spans="2:16" ht="16.5" x14ac:dyDescent="0.45">
      <c r="B388" s="10" t="s">
        <v>588</v>
      </c>
      <c r="F388" s="7">
        <v>1206</v>
      </c>
      <c r="G388" s="112">
        <v>225</v>
      </c>
      <c r="H388" s="10"/>
      <c r="I388" s="71" t="b">
        <v>1</v>
      </c>
      <c r="J388" s="76">
        <v>46079</v>
      </c>
      <c r="O388" s="72" t="b">
        <v>1</v>
      </c>
      <c r="P388" s="26" t="str">
        <f t="shared" si="15"/>
        <v/>
      </c>
    </row>
    <row r="389" spans="2:16" ht="16.5" x14ac:dyDescent="0.45">
      <c r="B389" s="10" t="s">
        <v>589</v>
      </c>
      <c r="F389" s="7">
        <v>1207</v>
      </c>
      <c r="G389" s="112">
        <v>225</v>
      </c>
      <c r="H389" s="10"/>
      <c r="I389" s="71" t="b">
        <v>1</v>
      </c>
      <c r="J389" s="76">
        <v>46080</v>
      </c>
      <c r="O389" s="72" t="b">
        <v>1</v>
      </c>
      <c r="P389" s="26" t="str">
        <f t="shared" si="15"/>
        <v/>
      </c>
    </row>
    <row r="390" spans="2:16" ht="16.5" x14ac:dyDescent="0.45">
      <c r="B390" s="10" t="s">
        <v>590</v>
      </c>
      <c r="F390" s="7">
        <v>1208</v>
      </c>
      <c r="G390" s="112">
        <v>225</v>
      </c>
      <c r="H390" s="10"/>
      <c r="I390" s="71" t="b">
        <v>1</v>
      </c>
      <c r="J390" s="76">
        <v>46080</v>
      </c>
      <c r="O390" s="72" t="b">
        <v>0</v>
      </c>
      <c r="P390" s="26" t="str">
        <f t="shared" si="15"/>
        <v/>
      </c>
    </row>
    <row r="391" spans="2:16" ht="16.5" x14ac:dyDescent="0.45">
      <c r="B391" s="10" t="s">
        <v>591</v>
      </c>
      <c r="F391" s="7">
        <v>1209</v>
      </c>
      <c r="G391" s="112">
        <v>225</v>
      </c>
      <c r="H391" s="10"/>
      <c r="I391" s="71" t="b">
        <v>1</v>
      </c>
      <c r="J391" s="76">
        <v>46080</v>
      </c>
      <c r="O391" s="72" t="b">
        <v>1</v>
      </c>
      <c r="P391" s="26" t="str">
        <f t="shared" si="15"/>
        <v/>
      </c>
    </row>
    <row r="392" spans="2:16" ht="16.5" x14ac:dyDescent="0.45">
      <c r="B392" s="10" t="s">
        <v>592</v>
      </c>
      <c r="F392" s="7">
        <v>1210</v>
      </c>
      <c r="G392" s="112">
        <v>225</v>
      </c>
      <c r="H392" s="10"/>
      <c r="I392" s="71" t="b">
        <v>1</v>
      </c>
      <c r="J392" s="76">
        <v>46081</v>
      </c>
      <c r="O392" s="72" t="b">
        <v>0</v>
      </c>
      <c r="P392" s="26" t="str">
        <f t="shared" si="15"/>
        <v/>
      </c>
    </row>
    <row r="393" spans="2:16" ht="16.5" x14ac:dyDescent="0.45">
      <c r="B393" s="10" t="s">
        <v>593</v>
      </c>
      <c r="F393" s="7">
        <v>1211</v>
      </c>
      <c r="G393" s="112">
        <v>225</v>
      </c>
      <c r="H393" s="10"/>
      <c r="I393" s="71" t="b">
        <v>1</v>
      </c>
      <c r="J393" s="76">
        <v>46083</v>
      </c>
      <c r="O393" s="72" t="b">
        <v>0</v>
      </c>
      <c r="P393" s="26" t="str">
        <f t="shared" si="15"/>
        <v/>
      </c>
    </row>
    <row r="394" spans="2:16" ht="16.5" x14ac:dyDescent="0.45">
      <c r="B394" s="10" t="s">
        <v>594</v>
      </c>
      <c r="F394" s="7">
        <v>1212</v>
      </c>
      <c r="G394" s="112">
        <v>225</v>
      </c>
      <c r="H394" s="10"/>
      <c r="I394" s="71" t="b">
        <v>1</v>
      </c>
      <c r="J394" s="76">
        <v>46084</v>
      </c>
      <c r="O394" s="72" t="b">
        <v>1</v>
      </c>
      <c r="P394" s="26" t="str">
        <f t="shared" si="15"/>
        <v/>
      </c>
    </row>
    <row r="395" spans="2:16" ht="16.5" x14ac:dyDescent="0.45">
      <c r="B395" s="10" t="s">
        <v>595</v>
      </c>
      <c r="F395" s="7">
        <v>1213</v>
      </c>
      <c r="G395" s="112">
        <v>225</v>
      </c>
      <c r="H395" s="10"/>
      <c r="I395" s="71" t="b">
        <v>1</v>
      </c>
      <c r="J395" s="76">
        <v>46085</v>
      </c>
      <c r="O395" s="72" t="b">
        <v>0</v>
      </c>
      <c r="P395" s="26" t="str">
        <f t="shared" si="15"/>
        <v/>
      </c>
    </row>
    <row r="396" spans="2:16" ht="16.5" x14ac:dyDescent="0.45">
      <c r="B396" s="10" t="s">
        <v>596</v>
      </c>
      <c r="F396" s="7">
        <v>1214</v>
      </c>
      <c r="G396" s="112">
        <v>225</v>
      </c>
      <c r="H396" s="10"/>
      <c r="I396" s="71" t="b">
        <v>1</v>
      </c>
      <c r="J396" s="76">
        <v>46086</v>
      </c>
      <c r="O396" s="72" t="b">
        <v>1</v>
      </c>
      <c r="P396" s="26" t="str">
        <f t="shared" si="15"/>
        <v/>
      </c>
    </row>
    <row r="397" spans="2:16" ht="16.5" x14ac:dyDescent="0.45">
      <c r="B397" s="10" t="s">
        <v>597</v>
      </c>
      <c r="F397" s="7">
        <v>1215</v>
      </c>
      <c r="G397" s="112">
        <v>225</v>
      </c>
      <c r="H397" s="10"/>
      <c r="I397" s="71" t="b">
        <v>1</v>
      </c>
      <c r="J397" s="76">
        <v>46087</v>
      </c>
      <c r="O397" s="72" t="b">
        <v>0</v>
      </c>
      <c r="P397" s="26" t="str">
        <f t="shared" si="15"/>
        <v/>
      </c>
    </row>
    <row r="398" spans="2:16" ht="16.5" x14ac:dyDescent="0.45">
      <c r="B398" s="10" t="s">
        <v>598</v>
      </c>
      <c r="F398" s="7">
        <v>1216</v>
      </c>
      <c r="G398" s="9">
        <v>450</v>
      </c>
      <c r="H398" s="10" t="s">
        <v>740</v>
      </c>
      <c r="I398" s="71" t="b">
        <v>1</v>
      </c>
      <c r="J398" s="76">
        <v>46090</v>
      </c>
      <c r="O398" s="72" t="b">
        <v>1</v>
      </c>
      <c r="P398" s="26" t="str">
        <f t="shared" si="15"/>
        <v/>
      </c>
    </row>
    <row r="399" spans="2:16" ht="16.5" x14ac:dyDescent="0.45">
      <c r="B399" s="10" t="s">
        <v>599</v>
      </c>
      <c r="F399" s="7">
        <v>1217</v>
      </c>
      <c r="G399" s="112">
        <v>225</v>
      </c>
      <c r="H399" s="10"/>
      <c r="I399" s="71" t="b">
        <v>1</v>
      </c>
      <c r="J399" s="76">
        <v>46092</v>
      </c>
      <c r="O399" s="72" t="b">
        <v>1</v>
      </c>
      <c r="P399" s="26" t="str">
        <f t="shared" si="15"/>
        <v/>
      </c>
    </row>
    <row r="400" spans="2:16" ht="16.5" x14ac:dyDescent="0.45">
      <c r="B400" s="10" t="s">
        <v>600</v>
      </c>
      <c r="F400" s="7">
        <v>1218</v>
      </c>
      <c r="G400" s="112">
        <v>225</v>
      </c>
      <c r="H400" s="10"/>
      <c r="I400" s="71" t="b">
        <v>1</v>
      </c>
      <c r="J400" s="76">
        <v>46094</v>
      </c>
      <c r="O400" s="72" t="b">
        <v>0</v>
      </c>
      <c r="P400" s="26" t="str">
        <f t="shared" si="15"/>
        <v/>
      </c>
    </row>
    <row r="401" spans="2:16" ht="16.5" x14ac:dyDescent="0.45">
      <c r="B401" s="10" t="s">
        <v>601</v>
      </c>
      <c r="F401" s="7">
        <v>1219</v>
      </c>
      <c r="G401" s="112">
        <v>225</v>
      </c>
      <c r="H401" s="10"/>
      <c r="I401" s="71" t="b">
        <v>1</v>
      </c>
      <c r="J401" s="76">
        <v>46096</v>
      </c>
      <c r="O401" s="72" t="b">
        <v>0</v>
      </c>
      <c r="P401" s="26" t="str">
        <f t="shared" si="15"/>
        <v/>
      </c>
    </row>
    <row r="402" spans="2:16" ht="16.5" x14ac:dyDescent="0.45">
      <c r="B402" s="10" t="s">
        <v>602</v>
      </c>
      <c r="F402" s="7">
        <v>1220</v>
      </c>
      <c r="G402" s="112">
        <v>225</v>
      </c>
      <c r="H402" s="10"/>
      <c r="I402" s="71" t="b">
        <v>1</v>
      </c>
      <c r="J402" s="76">
        <v>46097</v>
      </c>
      <c r="O402" s="72" t="b">
        <v>0</v>
      </c>
      <c r="P402" s="26" t="str">
        <f t="shared" si="15"/>
        <v/>
      </c>
    </row>
    <row r="403" spans="2:16" ht="16.5" x14ac:dyDescent="0.45">
      <c r="B403" s="10" t="s">
        <v>603</v>
      </c>
      <c r="F403" s="7">
        <v>1221</v>
      </c>
      <c r="G403" s="112">
        <v>225</v>
      </c>
      <c r="H403" s="10"/>
      <c r="I403" s="71" t="b">
        <v>1</v>
      </c>
      <c r="J403" s="76">
        <v>46098</v>
      </c>
      <c r="O403" s="72" t="b">
        <v>0</v>
      </c>
      <c r="P403" s="26" t="str">
        <f t="shared" si="15"/>
        <v/>
      </c>
    </row>
    <row r="404" spans="2:16" ht="16.5" x14ac:dyDescent="0.45">
      <c r="B404" s="10" t="s">
        <v>604</v>
      </c>
      <c r="F404" s="7">
        <v>1222</v>
      </c>
      <c r="G404" s="112">
        <v>225</v>
      </c>
      <c r="H404" s="10"/>
      <c r="I404" s="71" t="b">
        <v>1</v>
      </c>
      <c r="J404" s="76">
        <v>46100</v>
      </c>
      <c r="O404" s="72" t="b">
        <v>1</v>
      </c>
      <c r="P404" s="26" t="str">
        <f t="shared" si="15"/>
        <v/>
      </c>
    </row>
    <row r="405" spans="2:16" ht="16.5" x14ac:dyDescent="0.45">
      <c r="B405" s="10" t="s">
        <v>605</v>
      </c>
      <c r="F405" s="7">
        <v>1223</v>
      </c>
      <c r="G405" s="112">
        <v>225</v>
      </c>
      <c r="H405" s="10"/>
      <c r="I405" s="71" t="b">
        <v>1</v>
      </c>
      <c r="J405" s="76">
        <v>46103</v>
      </c>
      <c r="O405" s="72" t="b">
        <v>0</v>
      </c>
      <c r="P405" s="26" t="str">
        <f t="shared" si="15"/>
        <v/>
      </c>
    </row>
    <row r="406" spans="2:16" ht="16.5" x14ac:dyDescent="0.45">
      <c r="B406" s="10" t="s">
        <v>606</v>
      </c>
      <c r="F406" s="7">
        <v>1224</v>
      </c>
      <c r="G406" s="112">
        <v>225</v>
      </c>
      <c r="H406" s="10"/>
      <c r="I406" s="71" t="b">
        <v>1</v>
      </c>
      <c r="J406" s="76">
        <v>46104</v>
      </c>
      <c r="O406" s="72" t="b">
        <v>0</v>
      </c>
      <c r="P406" s="26" t="str">
        <f t="shared" si="15"/>
        <v/>
      </c>
    </row>
    <row r="407" spans="2:16" ht="16.5" x14ac:dyDescent="0.45">
      <c r="B407" s="10" t="s">
        <v>607</v>
      </c>
      <c r="F407" s="7">
        <v>1225</v>
      </c>
      <c r="G407" s="112">
        <v>225</v>
      </c>
      <c r="H407" s="10"/>
      <c r="I407" s="71" t="b">
        <v>1</v>
      </c>
      <c r="J407" s="76">
        <v>46107</v>
      </c>
      <c r="O407" s="72" t="b">
        <v>0</v>
      </c>
      <c r="P407" s="26" t="str">
        <f t="shared" si="15"/>
        <v/>
      </c>
    </row>
    <row r="408" spans="2:16" ht="16.5" x14ac:dyDescent="0.45">
      <c r="B408" s="10" t="s">
        <v>608</v>
      </c>
      <c r="F408" s="7">
        <v>1226</v>
      </c>
      <c r="G408" s="112">
        <v>225</v>
      </c>
      <c r="H408" s="10"/>
      <c r="I408" s="71" t="b">
        <v>1</v>
      </c>
      <c r="J408" s="76">
        <v>46108</v>
      </c>
      <c r="O408" s="72" t="b">
        <v>0</v>
      </c>
      <c r="P408" s="26" t="str">
        <f t="shared" si="15"/>
        <v/>
      </c>
    </row>
    <row r="409" spans="2:16" ht="16.5" x14ac:dyDescent="0.45">
      <c r="B409" s="10" t="s">
        <v>609</v>
      </c>
      <c r="F409" s="7">
        <v>1227</v>
      </c>
      <c r="G409" s="112">
        <v>225</v>
      </c>
      <c r="H409" s="10"/>
      <c r="I409" s="71" t="b">
        <v>1</v>
      </c>
      <c r="J409" s="76">
        <v>46109</v>
      </c>
      <c r="O409" s="72" t="b">
        <v>0</v>
      </c>
      <c r="P409" s="26" t="str">
        <f t="shared" si="15"/>
        <v/>
      </c>
    </row>
    <row r="410" spans="2:16" ht="16.5" x14ac:dyDescent="0.45">
      <c r="B410" s="10" t="s">
        <v>610</v>
      </c>
      <c r="F410" s="7">
        <v>1228</v>
      </c>
      <c r="G410" s="112">
        <v>225</v>
      </c>
      <c r="H410" s="10"/>
      <c r="I410" s="71" t="b">
        <v>1</v>
      </c>
      <c r="J410" s="75">
        <v>46110</v>
      </c>
      <c r="O410" s="72" t="b">
        <v>0</v>
      </c>
      <c r="P410" s="26" t="str">
        <f t="shared" si="15"/>
        <v/>
      </c>
    </row>
    <row r="411" spans="2:16" ht="16.5" x14ac:dyDescent="0.45">
      <c r="B411" s="10" t="s">
        <v>611</v>
      </c>
      <c r="F411" s="7">
        <v>1229</v>
      </c>
      <c r="G411" s="112">
        <v>225</v>
      </c>
      <c r="H411" s="10"/>
      <c r="I411" s="71" t="b">
        <v>1</v>
      </c>
      <c r="J411" s="75">
        <v>46111</v>
      </c>
      <c r="O411" s="72" t="b">
        <v>1</v>
      </c>
      <c r="P411" s="26" t="str">
        <f t="shared" si="15"/>
        <v/>
      </c>
    </row>
    <row r="412" spans="2:16" ht="16.5" x14ac:dyDescent="0.45">
      <c r="B412" s="10" t="s">
        <v>612</v>
      </c>
      <c r="F412" s="7">
        <v>1230</v>
      </c>
      <c r="G412" s="112">
        <v>225</v>
      </c>
      <c r="H412" s="10"/>
      <c r="I412" s="71" t="b">
        <v>1</v>
      </c>
      <c r="J412" s="75">
        <v>46112</v>
      </c>
      <c r="O412" s="72" t="b">
        <v>0</v>
      </c>
      <c r="P412" s="26" t="str">
        <f t="shared" si="15"/>
        <v/>
      </c>
    </row>
    <row r="413" spans="2:16" ht="16.5" x14ac:dyDescent="0.45">
      <c r="B413" s="10" t="s">
        <v>613</v>
      </c>
      <c r="F413" s="7">
        <v>1231</v>
      </c>
      <c r="G413" s="112">
        <v>225</v>
      </c>
      <c r="H413" s="10"/>
      <c r="I413" s="71" t="b">
        <v>1</v>
      </c>
      <c r="J413" s="75">
        <v>46113</v>
      </c>
      <c r="O413" s="72" t="b">
        <v>0</v>
      </c>
      <c r="P413" s="26" t="str">
        <f t="shared" si="15"/>
        <v/>
      </c>
    </row>
    <row r="414" spans="2:16" ht="16.5" x14ac:dyDescent="0.45">
      <c r="B414" s="10" t="s">
        <v>614</v>
      </c>
      <c r="F414" s="74">
        <v>1232</v>
      </c>
      <c r="G414" s="112">
        <v>225</v>
      </c>
      <c r="H414" s="10"/>
      <c r="I414" s="71" t="b">
        <v>1</v>
      </c>
      <c r="J414" s="75">
        <v>46113</v>
      </c>
      <c r="O414" s="72" t="b">
        <v>1</v>
      </c>
      <c r="P414" s="26" t="str">
        <f t="shared" si="15"/>
        <v/>
      </c>
    </row>
    <row r="415" spans="2:16" ht="16.5" x14ac:dyDescent="0.45">
      <c r="B415" s="10" t="s">
        <v>615</v>
      </c>
      <c r="F415" s="74">
        <v>1233</v>
      </c>
      <c r="G415" s="112">
        <v>225</v>
      </c>
      <c r="H415" s="10"/>
      <c r="I415" s="71" t="b">
        <v>1</v>
      </c>
      <c r="J415" s="75">
        <v>46117</v>
      </c>
      <c r="O415" s="72" t="b">
        <v>0</v>
      </c>
      <c r="P415" s="26" t="str">
        <f t="shared" si="15"/>
        <v/>
      </c>
    </row>
    <row r="416" spans="2:16" ht="16.5" x14ac:dyDescent="0.45">
      <c r="B416" s="10" t="s">
        <v>616</v>
      </c>
      <c r="F416" s="74">
        <v>1234</v>
      </c>
      <c r="G416" s="112">
        <v>225</v>
      </c>
      <c r="H416" s="10"/>
      <c r="I416" s="71" t="b">
        <v>1</v>
      </c>
      <c r="J416" s="76">
        <v>46117</v>
      </c>
      <c r="O416" s="72" t="b">
        <v>1</v>
      </c>
      <c r="P416" s="26" t="str">
        <f t="shared" si="15"/>
        <v/>
      </c>
    </row>
    <row r="417" spans="2:16" ht="16.5" x14ac:dyDescent="0.45">
      <c r="B417" s="10" t="s">
        <v>617</v>
      </c>
      <c r="F417" s="74">
        <v>1235</v>
      </c>
      <c r="G417" s="112">
        <v>225</v>
      </c>
      <c r="H417" s="10"/>
      <c r="I417" s="71" t="b">
        <v>1</v>
      </c>
      <c r="J417" s="75">
        <v>46118</v>
      </c>
      <c r="O417" s="72" t="b">
        <v>0</v>
      </c>
      <c r="P417" s="26" t="str">
        <f t="shared" si="15"/>
        <v/>
      </c>
    </row>
    <row r="418" spans="2:16" ht="16.5" x14ac:dyDescent="0.45">
      <c r="B418" s="10" t="s">
        <v>618</v>
      </c>
      <c r="F418" s="74">
        <v>1236</v>
      </c>
      <c r="G418" s="112">
        <v>225</v>
      </c>
      <c r="H418" s="10"/>
      <c r="I418" s="71" t="b">
        <v>1</v>
      </c>
      <c r="J418" s="75">
        <v>46119</v>
      </c>
      <c r="O418" s="72" t="b">
        <v>0</v>
      </c>
      <c r="P418" s="26" t="str">
        <f t="shared" si="15"/>
        <v/>
      </c>
    </row>
    <row r="419" spans="2:16" ht="16.5" x14ac:dyDescent="0.45">
      <c r="B419" s="10" t="s">
        <v>619</v>
      </c>
      <c r="F419" s="74">
        <v>1237</v>
      </c>
      <c r="G419" s="112">
        <v>225</v>
      </c>
      <c r="H419" s="10"/>
      <c r="I419" s="71" t="b">
        <v>1</v>
      </c>
      <c r="J419" s="75">
        <v>46120</v>
      </c>
      <c r="O419" s="72" t="b">
        <v>0</v>
      </c>
      <c r="P419" s="26" t="str">
        <f t="shared" si="15"/>
        <v/>
      </c>
    </row>
    <row r="420" spans="2:16" ht="16.5" x14ac:dyDescent="0.45">
      <c r="B420" s="10" t="s">
        <v>620</v>
      </c>
      <c r="F420" s="74">
        <v>1238</v>
      </c>
      <c r="G420" s="112">
        <v>225</v>
      </c>
      <c r="H420" s="10"/>
      <c r="I420" s="71" t="b">
        <v>1</v>
      </c>
      <c r="J420" s="75">
        <v>46121</v>
      </c>
      <c r="O420" s="72" t="b">
        <v>1</v>
      </c>
      <c r="P420" s="26" t="str">
        <f t="shared" si="15"/>
        <v/>
      </c>
    </row>
    <row r="421" spans="2:16" ht="16.5" x14ac:dyDescent="0.45">
      <c r="B421" s="10" t="s">
        <v>621</v>
      </c>
      <c r="F421" s="74">
        <v>1239</v>
      </c>
      <c r="G421" s="112">
        <v>225</v>
      </c>
      <c r="H421" s="10"/>
      <c r="I421" s="71" t="b">
        <v>1</v>
      </c>
      <c r="J421" s="75">
        <v>46121</v>
      </c>
      <c r="O421" s="72" t="b">
        <v>1</v>
      </c>
      <c r="P421" s="26" t="str">
        <f t="shared" si="15"/>
        <v/>
      </c>
    </row>
    <row r="422" spans="2:16" ht="16.5" x14ac:dyDescent="0.45">
      <c r="B422" s="10" t="s">
        <v>622</v>
      </c>
      <c r="F422" s="74">
        <v>1240</v>
      </c>
      <c r="G422" s="112">
        <v>225</v>
      </c>
      <c r="H422" s="10"/>
      <c r="I422" s="71" t="b">
        <v>1</v>
      </c>
      <c r="J422" s="75">
        <v>46121</v>
      </c>
      <c r="O422" s="72" t="b">
        <v>0</v>
      </c>
      <c r="P422" s="26" t="str">
        <f t="shared" si="15"/>
        <v/>
      </c>
    </row>
    <row r="423" spans="2:16" ht="16.5" x14ac:dyDescent="0.45">
      <c r="B423" s="10" t="s">
        <v>623</v>
      </c>
      <c r="F423" s="74">
        <v>1241</v>
      </c>
      <c r="G423" s="112">
        <v>225</v>
      </c>
      <c r="H423" s="10"/>
      <c r="I423" s="71" t="b">
        <v>1</v>
      </c>
      <c r="J423" s="76">
        <v>46122</v>
      </c>
      <c r="O423" s="72" t="b">
        <v>0</v>
      </c>
      <c r="P423" s="26" t="str">
        <f t="shared" si="15"/>
        <v/>
      </c>
    </row>
    <row r="424" spans="2:16" ht="16.5" x14ac:dyDescent="0.45">
      <c r="B424" s="10" t="s">
        <v>624</v>
      </c>
      <c r="F424" s="74">
        <v>1242</v>
      </c>
      <c r="G424" s="112">
        <v>225</v>
      </c>
      <c r="H424" s="10"/>
      <c r="I424" s="71" t="b">
        <v>1</v>
      </c>
      <c r="J424" s="75">
        <v>46123</v>
      </c>
      <c r="O424" s="72" t="b">
        <v>1</v>
      </c>
      <c r="P424" s="26" t="str">
        <f t="shared" si="15"/>
        <v/>
      </c>
    </row>
    <row r="425" spans="2:16" ht="16.5" x14ac:dyDescent="0.45">
      <c r="B425" s="10" t="s">
        <v>625</v>
      </c>
      <c r="F425" s="74">
        <v>1243</v>
      </c>
      <c r="G425" s="112">
        <v>225</v>
      </c>
      <c r="H425" s="10"/>
      <c r="I425" s="71" t="b">
        <v>1</v>
      </c>
      <c r="J425" s="75">
        <v>46124</v>
      </c>
      <c r="O425" s="72" t="b">
        <v>0</v>
      </c>
      <c r="P425" s="26" t="str">
        <f t="shared" si="15"/>
        <v/>
      </c>
    </row>
    <row r="426" spans="2:16" ht="16.5" x14ac:dyDescent="0.45">
      <c r="B426" s="10" t="s">
        <v>626</v>
      </c>
      <c r="F426" s="74">
        <v>1244</v>
      </c>
      <c r="G426" s="112">
        <v>225</v>
      </c>
      <c r="H426" s="10"/>
      <c r="I426" s="71" t="b">
        <v>1</v>
      </c>
      <c r="J426" s="75">
        <v>46125</v>
      </c>
      <c r="O426" s="72" t="b">
        <v>0</v>
      </c>
      <c r="P426" s="26" t="str">
        <f t="shared" si="15"/>
        <v/>
      </c>
    </row>
    <row r="427" spans="2:16" ht="16.5" x14ac:dyDescent="0.45">
      <c r="B427" s="10" t="s">
        <v>627</v>
      </c>
      <c r="F427" s="74">
        <v>1245</v>
      </c>
      <c r="G427" s="112">
        <v>225</v>
      </c>
      <c r="H427" s="10"/>
      <c r="I427" s="71" t="b">
        <v>1</v>
      </c>
      <c r="J427" s="76">
        <v>46127</v>
      </c>
      <c r="O427" s="72" t="b">
        <v>0</v>
      </c>
      <c r="P427" s="26" t="str">
        <f t="shared" si="15"/>
        <v/>
      </c>
    </row>
    <row r="428" spans="2:16" ht="16.5" x14ac:dyDescent="0.45">
      <c r="B428" s="10" t="s">
        <v>628</v>
      </c>
      <c r="F428" s="74">
        <v>1246</v>
      </c>
      <c r="G428" s="112">
        <v>225</v>
      </c>
      <c r="H428" s="10"/>
      <c r="I428" s="71" t="b">
        <v>1</v>
      </c>
      <c r="J428" s="76">
        <v>46127</v>
      </c>
      <c r="O428" s="72" t="b">
        <v>0</v>
      </c>
      <c r="P428" s="26" t="str">
        <f t="shared" si="15"/>
        <v/>
      </c>
    </row>
    <row r="429" spans="2:16" ht="16.5" x14ac:dyDescent="0.45">
      <c r="B429" s="10" t="s">
        <v>629</v>
      </c>
      <c r="F429" s="74">
        <v>1247</v>
      </c>
      <c r="G429" s="112">
        <v>225</v>
      </c>
      <c r="H429" s="10"/>
      <c r="I429" s="71" t="b">
        <v>1</v>
      </c>
      <c r="J429" s="76">
        <v>46128</v>
      </c>
      <c r="O429" s="72" t="b">
        <v>0</v>
      </c>
      <c r="P429" s="26" t="str">
        <f t="shared" si="15"/>
        <v/>
      </c>
    </row>
    <row r="430" spans="2:16" ht="16.5" x14ac:dyDescent="0.45">
      <c r="B430" s="10" t="s">
        <v>630</v>
      </c>
      <c r="F430" s="74">
        <v>1248</v>
      </c>
      <c r="G430" s="112">
        <v>225</v>
      </c>
      <c r="H430" s="10"/>
      <c r="I430" s="71" t="b">
        <v>1</v>
      </c>
      <c r="J430" s="76">
        <v>46129</v>
      </c>
      <c r="O430" s="72" t="b">
        <v>0</v>
      </c>
      <c r="P430" s="26" t="str">
        <f t="shared" si="15"/>
        <v/>
      </c>
    </row>
    <row r="431" spans="2:16" ht="16.5" x14ac:dyDescent="0.45">
      <c r="B431" s="10" t="s">
        <v>631</v>
      </c>
      <c r="F431" s="74">
        <v>1249</v>
      </c>
      <c r="G431" s="112">
        <v>225</v>
      </c>
      <c r="H431" s="10"/>
      <c r="I431" s="71" t="b">
        <v>1</v>
      </c>
      <c r="J431" s="76">
        <v>46134</v>
      </c>
      <c r="O431" s="72" t="b">
        <v>1</v>
      </c>
      <c r="P431" s="26" t="str">
        <f t="shared" si="15"/>
        <v/>
      </c>
    </row>
    <row r="432" spans="2:16" ht="16.5" x14ac:dyDescent="0.45">
      <c r="B432" s="10" t="s">
        <v>632</v>
      </c>
      <c r="F432" s="74">
        <v>1250</v>
      </c>
      <c r="G432" s="112">
        <v>225</v>
      </c>
      <c r="H432" s="10"/>
      <c r="I432" s="71" t="b">
        <v>1</v>
      </c>
      <c r="J432" s="75">
        <v>46136</v>
      </c>
      <c r="O432" s="72" t="b">
        <v>1</v>
      </c>
      <c r="P432" s="26" t="str">
        <f t="shared" si="15"/>
        <v/>
      </c>
    </row>
    <row r="433" spans="2:16" ht="16.5" x14ac:dyDescent="0.45">
      <c r="B433" s="10" t="s">
        <v>633</v>
      </c>
      <c r="F433" s="74">
        <v>1251</v>
      </c>
      <c r="G433" s="112">
        <v>225</v>
      </c>
      <c r="H433" s="10"/>
      <c r="I433" s="71" t="b">
        <v>1</v>
      </c>
      <c r="J433" s="75">
        <v>46136</v>
      </c>
      <c r="O433" s="72" t="b">
        <v>0</v>
      </c>
      <c r="P433" s="26" t="str">
        <f t="shared" si="15"/>
        <v/>
      </c>
    </row>
    <row r="434" spans="2:16" ht="16.5" x14ac:dyDescent="0.45">
      <c r="B434" s="10" t="s">
        <v>634</v>
      </c>
      <c r="F434" s="74">
        <v>1252</v>
      </c>
      <c r="G434" s="112">
        <v>225</v>
      </c>
      <c r="H434" s="10"/>
      <c r="I434" s="71" t="b">
        <v>1</v>
      </c>
      <c r="J434" s="76">
        <v>46137</v>
      </c>
      <c r="O434" s="72" t="b">
        <v>0</v>
      </c>
      <c r="P434" s="26" t="str">
        <f t="shared" si="15"/>
        <v/>
      </c>
    </row>
    <row r="435" spans="2:16" ht="16.5" x14ac:dyDescent="0.45">
      <c r="B435" s="10" t="s">
        <v>635</v>
      </c>
      <c r="F435" s="74">
        <v>1253</v>
      </c>
      <c r="G435" s="112">
        <v>225</v>
      </c>
      <c r="H435" s="10"/>
      <c r="I435" s="71" t="b">
        <v>1</v>
      </c>
      <c r="J435" s="76">
        <v>46137</v>
      </c>
      <c r="O435" s="72" t="b">
        <v>0</v>
      </c>
      <c r="P435" s="26" t="str">
        <f t="shared" si="15"/>
        <v/>
      </c>
    </row>
    <row r="436" spans="2:16" ht="16.5" x14ac:dyDescent="0.45">
      <c r="B436" s="10" t="s">
        <v>636</v>
      </c>
      <c r="F436" s="74">
        <v>1254</v>
      </c>
      <c r="G436" s="112">
        <v>225</v>
      </c>
      <c r="H436" s="10"/>
      <c r="I436" s="71" t="b">
        <v>1</v>
      </c>
      <c r="J436" s="76">
        <v>46138</v>
      </c>
      <c r="O436" s="72" t="b">
        <v>1</v>
      </c>
      <c r="P436" s="26" t="str">
        <f t="shared" si="15"/>
        <v/>
      </c>
    </row>
    <row r="437" spans="2:16" ht="16.5" x14ac:dyDescent="0.45">
      <c r="B437" s="10" t="s">
        <v>637</v>
      </c>
      <c r="F437" s="74">
        <v>1255</v>
      </c>
      <c r="G437" s="112">
        <v>225</v>
      </c>
      <c r="H437" s="10"/>
      <c r="I437" s="71" t="b">
        <v>1</v>
      </c>
      <c r="J437" s="76">
        <v>46140</v>
      </c>
      <c r="O437" s="72" t="b">
        <v>0</v>
      </c>
      <c r="P437" s="26" t="str">
        <f t="shared" si="15"/>
        <v/>
      </c>
    </row>
    <row r="438" spans="2:16" ht="99" x14ac:dyDescent="0.45">
      <c r="B438" s="10" t="s">
        <v>638</v>
      </c>
      <c r="F438" s="74">
        <v>1256</v>
      </c>
      <c r="G438" s="112">
        <v>225</v>
      </c>
      <c r="H438" s="10" t="s">
        <v>741</v>
      </c>
      <c r="I438" s="71" t="b">
        <v>1</v>
      </c>
      <c r="J438" s="76">
        <v>46151</v>
      </c>
      <c r="O438" s="72" t="b">
        <v>0</v>
      </c>
      <c r="P438" s="26" t="str">
        <f t="shared" si="15"/>
        <v/>
      </c>
    </row>
    <row r="439" spans="2:16" ht="16.5" x14ac:dyDescent="0.45">
      <c r="B439" s="10" t="s">
        <v>639</v>
      </c>
      <c r="F439" s="74">
        <v>1257</v>
      </c>
      <c r="G439" s="112">
        <v>225</v>
      </c>
      <c r="H439" s="10"/>
      <c r="I439" s="71" t="b">
        <v>1</v>
      </c>
      <c r="J439" s="76">
        <v>46141</v>
      </c>
      <c r="O439" s="72" t="b">
        <v>0</v>
      </c>
      <c r="P439" s="26" t="str">
        <f t="shared" si="15"/>
        <v/>
      </c>
    </row>
    <row r="440" spans="2:16" ht="16.5" x14ac:dyDescent="0.45">
      <c r="B440" s="10" t="s">
        <v>640</v>
      </c>
      <c r="F440" s="74">
        <v>1258</v>
      </c>
      <c r="G440" s="112">
        <v>225</v>
      </c>
      <c r="H440" s="10"/>
      <c r="I440" s="71" t="b">
        <v>1</v>
      </c>
      <c r="J440" s="76">
        <v>46141</v>
      </c>
      <c r="O440" s="72" t="b">
        <v>1</v>
      </c>
      <c r="P440" s="26" t="str">
        <f t="shared" si="15"/>
        <v/>
      </c>
    </row>
    <row r="441" spans="2:16" ht="16.5" x14ac:dyDescent="0.45">
      <c r="B441" s="10" t="s">
        <v>641</v>
      </c>
      <c r="F441" s="74">
        <v>1259</v>
      </c>
      <c r="G441" s="112">
        <v>225</v>
      </c>
      <c r="H441" s="10"/>
      <c r="I441" s="71" t="b">
        <v>1</v>
      </c>
      <c r="J441" s="76">
        <v>46142</v>
      </c>
      <c r="O441" s="72" t="b">
        <v>0</v>
      </c>
      <c r="P441" s="26" t="str">
        <f t="shared" si="15"/>
        <v/>
      </c>
    </row>
    <row r="442" spans="2:16" ht="16.5" x14ac:dyDescent="0.45">
      <c r="B442" s="10" t="s">
        <v>642</v>
      </c>
      <c r="F442" s="74">
        <v>1260</v>
      </c>
      <c r="G442" s="112">
        <v>225</v>
      </c>
      <c r="H442" s="10"/>
      <c r="I442" s="71" t="b">
        <v>1</v>
      </c>
      <c r="J442" s="76">
        <v>46143</v>
      </c>
      <c r="O442" s="72" t="b">
        <v>0</v>
      </c>
      <c r="P442" s="26" t="str">
        <f t="shared" si="15"/>
        <v/>
      </c>
    </row>
    <row r="443" spans="2:16" ht="33" x14ac:dyDescent="0.45">
      <c r="B443" s="10" t="s">
        <v>643</v>
      </c>
      <c r="F443" s="74">
        <v>1261</v>
      </c>
      <c r="G443" s="112">
        <v>225</v>
      </c>
      <c r="H443" s="10"/>
      <c r="I443" s="71" t="b">
        <v>1</v>
      </c>
      <c r="J443" s="75">
        <v>46143</v>
      </c>
      <c r="O443" s="72" t="b">
        <v>1</v>
      </c>
      <c r="P443" s="26" t="str">
        <f t="shared" si="15"/>
        <v/>
      </c>
    </row>
    <row r="444" spans="2:16" ht="16.5" x14ac:dyDescent="0.45">
      <c r="B444" s="10" t="s">
        <v>644</v>
      </c>
      <c r="F444" s="74">
        <v>1262</v>
      </c>
      <c r="G444" s="112">
        <v>225</v>
      </c>
      <c r="H444" s="10"/>
      <c r="I444" s="71" t="b">
        <v>1</v>
      </c>
      <c r="J444" s="75">
        <v>46144</v>
      </c>
      <c r="O444" s="72" t="b">
        <v>0</v>
      </c>
      <c r="P444" s="26" t="str">
        <f t="shared" si="15"/>
        <v/>
      </c>
    </row>
    <row r="445" spans="2:16" ht="16.5" x14ac:dyDescent="0.45">
      <c r="B445" s="10" t="s">
        <v>645</v>
      </c>
      <c r="F445" s="74">
        <v>1263</v>
      </c>
      <c r="G445" s="112">
        <v>225</v>
      </c>
      <c r="H445" s="10"/>
      <c r="I445" s="71" t="b">
        <v>1</v>
      </c>
      <c r="J445" s="75">
        <v>46144</v>
      </c>
      <c r="O445" s="72" t="b">
        <v>0</v>
      </c>
      <c r="P445" s="26" t="str">
        <f t="shared" si="15"/>
        <v/>
      </c>
    </row>
    <row r="446" spans="2:16" ht="16.5" x14ac:dyDescent="0.45">
      <c r="B446" s="10" t="s">
        <v>646</v>
      </c>
      <c r="F446" s="74">
        <v>1264</v>
      </c>
      <c r="G446" s="112">
        <v>225</v>
      </c>
      <c r="H446" s="10"/>
      <c r="I446" s="71" t="b">
        <v>1</v>
      </c>
      <c r="J446" s="76">
        <v>46145</v>
      </c>
      <c r="O446" s="72" t="b">
        <v>1</v>
      </c>
      <c r="P446" s="26" t="str">
        <f t="shared" si="15"/>
        <v/>
      </c>
    </row>
    <row r="447" spans="2:16" ht="16.5" x14ac:dyDescent="0.45">
      <c r="B447" s="10" t="s">
        <v>647</v>
      </c>
      <c r="F447" s="74">
        <v>1265</v>
      </c>
      <c r="G447" s="112">
        <v>225</v>
      </c>
      <c r="H447" s="10"/>
      <c r="I447" s="71" t="b">
        <v>1</v>
      </c>
      <c r="J447" s="75">
        <v>46146</v>
      </c>
      <c r="O447" s="72" t="b">
        <v>1</v>
      </c>
      <c r="P447" s="26" t="str">
        <f t="shared" si="15"/>
        <v/>
      </c>
    </row>
    <row r="448" spans="2:16" ht="33" x14ac:dyDescent="0.45">
      <c r="B448" s="10" t="s">
        <v>648</v>
      </c>
      <c r="F448" s="74">
        <v>1266</v>
      </c>
      <c r="G448" s="112">
        <v>225</v>
      </c>
      <c r="H448" s="10" t="s">
        <v>742</v>
      </c>
      <c r="I448" s="71" t="b">
        <v>1</v>
      </c>
      <c r="J448" s="75">
        <v>46147</v>
      </c>
      <c r="O448" s="72" t="b">
        <v>0</v>
      </c>
      <c r="P448" s="26" t="str">
        <f t="shared" si="15"/>
        <v/>
      </c>
    </row>
    <row r="449" spans="2:16" ht="33" x14ac:dyDescent="0.45">
      <c r="B449" s="10" t="s">
        <v>648</v>
      </c>
      <c r="F449" s="74">
        <v>1267</v>
      </c>
      <c r="G449" s="112">
        <v>225</v>
      </c>
      <c r="H449" s="10" t="s">
        <v>742</v>
      </c>
      <c r="I449" s="71" t="b">
        <v>1</v>
      </c>
      <c r="J449" s="75">
        <v>46147</v>
      </c>
      <c r="O449" s="72" t="b">
        <v>0</v>
      </c>
      <c r="P449" s="26" t="str">
        <f t="shared" si="15"/>
        <v/>
      </c>
    </row>
    <row r="450" spans="2:16" ht="16.5" x14ac:dyDescent="0.45">
      <c r="B450" s="10" t="s">
        <v>649</v>
      </c>
      <c r="F450" s="74">
        <v>1268</v>
      </c>
      <c r="G450" s="112">
        <v>225</v>
      </c>
      <c r="H450" s="10"/>
      <c r="I450" s="71" t="b">
        <v>1</v>
      </c>
      <c r="J450" s="76">
        <v>46147</v>
      </c>
      <c r="O450" s="72" t="b">
        <v>0</v>
      </c>
      <c r="P450" s="26" t="str">
        <f t="shared" si="15"/>
        <v/>
      </c>
    </row>
    <row r="451" spans="2:16" ht="16.5" x14ac:dyDescent="0.45">
      <c r="B451" s="10" t="s">
        <v>650</v>
      </c>
      <c r="F451" s="74">
        <v>1269</v>
      </c>
      <c r="G451" s="112">
        <v>225</v>
      </c>
      <c r="H451" s="10"/>
      <c r="I451" s="71" t="b">
        <v>1</v>
      </c>
      <c r="J451" s="75">
        <v>46148</v>
      </c>
      <c r="O451" s="72" t="b">
        <v>1</v>
      </c>
      <c r="P451" s="26" t="str">
        <f t="shared" si="15"/>
        <v/>
      </c>
    </row>
    <row r="452" spans="2:16" ht="16.5" x14ac:dyDescent="0.45">
      <c r="B452" s="10" t="s">
        <v>651</v>
      </c>
      <c r="F452" s="74">
        <v>1270</v>
      </c>
      <c r="G452" s="112">
        <v>225</v>
      </c>
      <c r="H452" s="10"/>
      <c r="I452" s="71" t="b">
        <v>1</v>
      </c>
      <c r="J452" s="76">
        <v>46152</v>
      </c>
      <c r="O452" s="72" t="b">
        <v>0</v>
      </c>
      <c r="P452" s="26" t="str">
        <f t="shared" si="15"/>
        <v/>
      </c>
    </row>
    <row r="453" spans="2:16" ht="16.5" x14ac:dyDescent="0.45">
      <c r="B453" s="10" t="s">
        <v>652</v>
      </c>
      <c r="F453" s="74">
        <v>1271</v>
      </c>
      <c r="G453" s="112">
        <v>225</v>
      </c>
      <c r="H453" s="10"/>
      <c r="I453" s="71" t="b">
        <v>1</v>
      </c>
      <c r="J453" s="76">
        <v>46153</v>
      </c>
      <c r="O453" s="72" t="b">
        <v>0</v>
      </c>
      <c r="P453" s="26" t="str">
        <f t="shared" si="15"/>
        <v/>
      </c>
    </row>
    <row r="454" spans="2:16" ht="16.5" x14ac:dyDescent="0.45">
      <c r="B454" s="10" t="s">
        <v>653</v>
      </c>
      <c r="F454" s="74">
        <v>1272</v>
      </c>
      <c r="G454" s="112">
        <v>225</v>
      </c>
      <c r="H454" s="10"/>
      <c r="I454" s="71" t="b">
        <v>1</v>
      </c>
      <c r="J454" s="75">
        <v>46154</v>
      </c>
      <c r="O454" s="72" t="b">
        <v>0</v>
      </c>
      <c r="P454" s="26" t="str">
        <f t="shared" si="15"/>
        <v/>
      </c>
    </row>
    <row r="455" spans="2:16" ht="16.5" x14ac:dyDescent="0.45">
      <c r="B455" s="10" t="s">
        <v>654</v>
      </c>
      <c r="F455" s="74">
        <v>1273</v>
      </c>
      <c r="G455" s="112">
        <v>225</v>
      </c>
      <c r="H455" s="10"/>
      <c r="I455" s="71" t="b">
        <v>1</v>
      </c>
      <c r="J455" s="75">
        <v>46154</v>
      </c>
      <c r="O455" s="72" t="b">
        <v>0</v>
      </c>
      <c r="P455" s="26" t="str">
        <f t="shared" si="15"/>
        <v/>
      </c>
    </row>
    <row r="456" spans="2:16" ht="16.5" x14ac:dyDescent="0.45">
      <c r="B456" s="10" t="s">
        <v>655</v>
      </c>
      <c r="F456" s="74">
        <v>1281</v>
      </c>
      <c r="G456" s="112">
        <v>225</v>
      </c>
      <c r="H456" s="10"/>
      <c r="I456" s="71" t="b">
        <v>1</v>
      </c>
      <c r="J456" s="75">
        <v>46157</v>
      </c>
      <c r="O456" s="72" t="b">
        <v>1</v>
      </c>
      <c r="P456" s="26">
        <v>46157</v>
      </c>
    </row>
    <row r="457" spans="2:16" ht="16.5" x14ac:dyDescent="0.45">
      <c r="B457" s="10" t="s">
        <v>656</v>
      </c>
      <c r="F457" s="74">
        <v>1284</v>
      </c>
      <c r="G457" s="112">
        <v>225</v>
      </c>
      <c r="H457" s="10"/>
      <c r="I457" s="71" t="b">
        <v>1</v>
      </c>
      <c r="J457" s="75">
        <v>46158</v>
      </c>
      <c r="O457" s="72" t="b">
        <v>0</v>
      </c>
      <c r="P457" s="26" t="str">
        <f t="shared" ref="P457:P494" si="16">IF(M457="","",EDATE(M457,6))</f>
        <v/>
      </c>
    </row>
    <row r="458" spans="2:16" ht="16.5" x14ac:dyDescent="0.45">
      <c r="B458" s="10" t="s">
        <v>657</v>
      </c>
      <c r="F458" s="74">
        <v>1285</v>
      </c>
      <c r="G458" s="112">
        <v>225</v>
      </c>
      <c r="H458" s="10"/>
      <c r="I458" s="71" t="b">
        <v>1</v>
      </c>
      <c r="J458" s="75">
        <v>46159</v>
      </c>
      <c r="O458" s="72" t="b">
        <v>0</v>
      </c>
      <c r="P458" s="26" t="str">
        <f t="shared" si="16"/>
        <v/>
      </c>
    </row>
    <row r="459" spans="2:16" ht="16.5" x14ac:dyDescent="0.45">
      <c r="B459" s="10" t="s">
        <v>658</v>
      </c>
      <c r="F459" s="74">
        <v>1286</v>
      </c>
      <c r="G459" s="112">
        <v>225</v>
      </c>
      <c r="H459" s="10"/>
      <c r="I459" s="71" t="b">
        <v>1</v>
      </c>
      <c r="J459" s="75">
        <v>46159</v>
      </c>
      <c r="O459" s="72" t="b">
        <v>0</v>
      </c>
      <c r="P459" s="26" t="str">
        <f t="shared" si="16"/>
        <v/>
      </c>
    </row>
    <row r="460" spans="2:16" ht="16.5" x14ac:dyDescent="0.45">
      <c r="B460" s="10" t="s">
        <v>659</v>
      </c>
      <c r="F460" s="74">
        <v>1287</v>
      </c>
      <c r="G460" s="112">
        <v>225</v>
      </c>
      <c r="H460" s="10"/>
      <c r="I460" s="71" t="b">
        <v>1</v>
      </c>
      <c r="J460" s="76">
        <v>46159</v>
      </c>
      <c r="O460" s="72" t="b">
        <v>1</v>
      </c>
      <c r="P460" s="26" t="str">
        <f t="shared" si="16"/>
        <v/>
      </c>
    </row>
    <row r="461" spans="2:16" ht="16.5" x14ac:dyDescent="0.45">
      <c r="B461" s="10" t="s">
        <v>660</v>
      </c>
      <c r="F461" s="74">
        <v>1290</v>
      </c>
      <c r="G461" s="112">
        <v>225</v>
      </c>
      <c r="H461" s="10"/>
      <c r="I461" s="71" t="b">
        <v>1</v>
      </c>
      <c r="J461" s="75">
        <v>46162</v>
      </c>
      <c r="O461" s="72" t="b">
        <v>0</v>
      </c>
      <c r="P461" s="26" t="str">
        <f t="shared" si="16"/>
        <v/>
      </c>
    </row>
    <row r="462" spans="2:16" ht="115.5" x14ac:dyDescent="0.45">
      <c r="B462" s="10" t="s">
        <v>661</v>
      </c>
      <c r="F462" s="110">
        <v>1291</v>
      </c>
      <c r="G462" s="112">
        <v>225</v>
      </c>
      <c r="H462" s="10" t="s">
        <v>743</v>
      </c>
      <c r="I462" s="71" t="b">
        <v>1</v>
      </c>
      <c r="J462" s="77">
        <v>46163</v>
      </c>
      <c r="O462" s="72" t="b">
        <v>0</v>
      </c>
      <c r="P462" s="26" t="str">
        <f t="shared" si="16"/>
        <v/>
      </c>
    </row>
    <row r="463" spans="2:16" ht="16.5" x14ac:dyDescent="0.45">
      <c r="B463" s="10" t="s">
        <v>417</v>
      </c>
      <c r="F463" s="74">
        <v>1292</v>
      </c>
      <c r="G463" s="112">
        <v>225</v>
      </c>
      <c r="H463" s="10"/>
      <c r="I463" s="71" t="b">
        <v>1</v>
      </c>
      <c r="J463" s="75">
        <v>46164</v>
      </c>
      <c r="O463" s="72" t="b">
        <v>0</v>
      </c>
      <c r="P463" s="26" t="str">
        <f t="shared" si="16"/>
        <v/>
      </c>
    </row>
    <row r="464" spans="2:16" ht="16.5" x14ac:dyDescent="0.45">
      <c r="B464" s="10" t="s">
        <v>662</v>
      </c>
      <c r="F464" s="74">
        <v>1293</v>
      </c>
      <c r="G464" s="112">
        <v>225</v>
      </c>
      <c r="H464" s="10"/>
      <c r="I464" s="71" t="b">
        <v>1</v>
      </c>
      <c r="J464" s="75">
        <v>46165</v>
      </c>
      <c r="O464" s="72" t="b">
        <v>1</v>
      </c>
      <c r="P464" s="26" t="str">
        <f t="shared" si="16"/>
        <v/>
      </c>
    </row>
    <row r="465" spans="2:16" ht="16.5" x14ac:dyDescent="0.45">
      <c r="B465" s="10" t="s">
        <v>663</v>
      </c>
      <c r="F465" s="74">
        <v>1294</v>
      </c>
      <c r="G465" s="112">
        <v>225</v>
      </c>
      <c r="H465" s="10"/>
      <c r="I465" s="71" t="b">
        <v>1</v>
      </c>
      <c r="J465" s="75">
        <v>46168</v>
      </c>
      <c r="O465" s="72" t="b">
        <v>0</v>
      </c>
      <c r="P465" s="26" t="str">
        <f t="shared" si="16"/>
        <v/>
      </c>
    </row>
    <row r="466" spans="2:16" ht="16.5" x14ac:dyDescent="0.45">
      <c r="B466" s="10" t="s">
        <v>664</v>
      </c>
      <c r="F466" s="74">
        <v>1295</v>
      </c>
      <c r="G466" s="112">
        <v>225</v>
      </c>
      <c r="H466" s="10"/>
      <c r="I466" s="71" t="b">
        <v>1</v>
      </c>
      <c r="J466" s="76">
        <v>46169</v>
      </c>
      <c r="O466" s="72" t="b">
        <v>0</v>
      </c>
      <c r="P466" s="26" t="str">
        <f t="shared" si="16"/>
        <v/>
      </c>
    </row>
    <row r="467" spans="2:16" ht="16.5" x14ac:dyDescent="0.45">
      <c r="B467" s="10" t="s">
        <v>665</v>
      </c>
      <c r="F467" s="74">
        <v>1298</v>
      </c>
      <c r="G467" s="112">
        <v>225</v>
      </c>
      <c r="H467" s="10"/>
      <c r="I467" s="71" t="b">
        <v>1</v>
      </c>
      <c r="J467" s="75">
        <v>46170</v>
      </c>
      <c r="O467" s="72" t="b">
        <v>0</v>
      </c>
      <c r="P467" s="26" t="str">
        <f t="shared" si="16"/>
        <v/>
      </c>
    </row>
    <row r="468" spans="2:16" ht="16.5" x14ac:dyDescent="0.45">
      <c r="B468" s="10" t="s">
        <v>666</v>
      </c>
      <c r="F468" s="74">
        <v>1299</v>
      </c>
      <c r="G468" s="112">
        <v>225</v>
      </c>
      <c r="H468" s="10"/>
      <c r="I468" s="71" t="b">
        <v>1</v>
      </c>
      <c r="J468" s="75">
        <v>46171</v>
      </c>
      <c r="O468" s="72" t="b">
        <v>1</v>
      </c>
      <c r="P468" s="26" t="str">
        <f t="shared" si="16"/>
        <v/>
      </c>
    </row>
    <row r="469" spans="2:16" ht="16.5" x14ac:dyDescent="0.45">
      <c r="B469" s="10" t="s">
        <v>667</v>
      </c>
      <c r="F469" s="74">
        <v>1300</v>
      </c>
      <c r="G469" s="112">
        <v>225</v>
      </c>
      <c r="H469" s="10"/>
      <c r="I469" s="71" t="b">
        <v>1</v>
      </c>
      <c r="J469" s="75">
        <v>46171</v>
      </c>
      <c r="O469" s="72" t="b">
        <v>0</v>
      </c>
      <c r="P469" s="26" t="str">
        <f t="shared" si="16"/>
        <v/>
      </c>
    </row>
    <row r="470" spans="2:16" ht="16.5" x14ac:dyDescent="0.45">
      <c r="B470" s="10" t="s">
        <v>668</v>
      </c>
      <c r="F470" s="74">
        <v>1301</v>
      </c>
      <c r="G470" s="112">
        <v>225</v>
      </c>
      <c r="H470" s="10"/>
      <c r="I470" s="71" t="b">
        <v>1</v>
      </c>
      <c r="J470" s="76">
        <v>46171</v>
      </c>
      <c r="O470" s="72" t="b">
        <v>0</v>
      </c>
      <c r="P470" s="26" t="str">
        <f t="shared" si="16"/>
        <v/>
      </c>
    </row>
    <row r="471" spans="2:16" ht="16.5" x14ac:dyDescent="0.45">
      <c r="B471" s="10" t="s">
        <v>669</v>
      </c>
      <c r="F471" s="74">
        <v>1302</v>
      </c>
      <c r="G471" s="112">
        <v>225</v>
      </c>
      <c r="H471" s="10"/>
      <c r="I471" s="71" t="b">
        <v>1</v>
      </c>
      <c r="J471" s="78">
        <v>46172</v>
      </c>
      <c r="O471" s="72" t="b">
        <v>0</v>
      </c>
      <c r="P471" s="26" t="str">
        <f t="shared" si="16"/>
        <v/>
      </c>
    </row>
    <row r="472" spans="2:16" ht="16.5" x14ac:dyDescent="0.45">
      <c r="B472" s="10" t="s">
        <v>670</v>
      </c>
      <c r="F472" s="74">
        <v>1303</v>
      </c>
      <c r="G472" s="112">
        <v>225</v>
      </c>
      <c r="H472" s="10"/>
      <c r="I472" s="71" t="b">
        <v>1</v>
      </c>
      <c r="J472" s="78">
        <v>46173</v>
      </c>
      <c r="O472" s="72" t="b">
        <v>0</v>
      </c>
      <c r="P472" s="26" t="str">
        <f t="shared" si="16"/>
        <v/>
      </c>
    </row>
    <row r="473" spans="2:16" ht="16.5" x14ac:dyDescent="0.45">
      <c r="B473" s="10" t="s">
        <v>671</v>
      </c>
      <c r="F473" s="74">
        <v>1304</v>
      </c>
      <c r="G473" s="112">
        <v>225</v>
      </c>
      <c r="H473" s="10"/>
      <c r="I473" s="71" t="b">
        <v>1</v>
      </c>
      <c r="J473" s="76">
        <v>46174</v>
      </c>
      <c r="O473" s="72" t="b">
        <v>1</v>
      </c>
      <c r="P473" s="26" t="str">
        <f t="shared" si="16"/>
        <v/>
      </c>
    </row>
    <row r="474" spans="2:16" ht="16.5" x14ac:dyDescent="0.45">
      <c r="B474" s="10" t="s">
        <v>672</v>
      </c>
      <c r="F474" s="74">
        <v>1306</v>
      </c>
      <c r="G474" s="112">
        <v>225</v>
      </c>
      <c r="H474" s="10"/>
      <c r="I474" s="71" t="b">
        <v>1</v>
      </c>
      <c r="J474" s="75">
        <v>46175</v>
      </c>
      <c r="O474" s="72" t="b">
        <v>1</v>
      </c>
      <c r="P474" s="26" t="str">
        <f t="shared" si="16"/>
        <v/>
      </c>
    </row>
    <row r="475" spans="2:16" ht="16.5" x14ac:dyDescent="0.45">
      <c r="B475" s="10" t="s">
        <v>673</v>
      </c>
      <c r="F475" s="74">
        <v>1307</v>
      </c>
      <c r="G475" s="112">
        <v>225</v>
      </c>
      <c r="H475" s="10"/>
      <c r="I475" s="71" t="b">
        <v>1</v>
      </c>
      <c r="J475" s="75">
        <v>46175</v>
      </c>
      <c r="O475" s="72" t="b">
        <v>1</v>
      </c>
      <c r="P475" s="26" t="str">
        <f t="shared" si="16"/>
        <v/>
      </c>
    </row>
    <row r="476" spans="2:16" ht="16.5" x14ac:dyDescent="0.45">
      <c r="B476" s="10" t="s">
        <v>674</v>
      </c>
      <c r="F476" s="74">
        <v>1308</v>
      </c>
      <c r="G476" s="9">
        <v>450</v>
      </c>
      <c r="H476" s="10"/>
      <c r="I476" s="71" t="b">
        <v>1</v>
      </c>
      <c r="J476" s="75">
        <v>46176</v>
      </c>
      <c r="O476" s="72" t="b">
        <v>0</v>
      </c>
      <c r="P476" s="26" t="str">
        <f t="shared" si="16"/>
        <v/>
      </c>
    </row>
    <row r="477" spans="2:16" ht="16.5" x14ac:dyDescent="0.45">
      <c r="B477" s="10" t="s">
        <v>675</v>
      </c>
      <c r="F477" s="74">
        <v>1309</v>
      </c>
      <c r="G477" s="112">
        <v>225</v>
      </c>
      <c r="H477" s="10"/>
      <c r="I477" s="71" t="b">
        <v>1</v>
      </c>
      <c r="J477" s="75">
        <v>46177</v>
      </c>
      <c r="O477" s="72" t="b">
        <v>1</v>
      </c>
      <c r="P477" s="26" t="str">
        <f t="shared" si="16"/>
        <v/>
      </c>
    </row>
    <row r="478" spans="2:16" ht="16.5" x14ac:dyDescent="0.45">
      <c r="B478" s="10" t="s">
        <v>676</v>
      </c>
      <c r="F478" s="74">
        <v>1310</v>
      </c>
      <c r="G478" s="112">
        <v>225</v>
      </c>
      <c r="H478" s="10"/>
      <c r="I478" s="71" t="b">
        <v>1</v>
      </c>
      <c r="J478" s="75">
        <v>46177</v>
      </c>
      <c r="O478" s="72" t="b">
        <v>0</v>
      </c>
      <c r="P478" s="26" t="str">
        <f t="shared" si="16"/>
        <v/>
      </c>
    </row>
    <row r="479" spans="2:16" ht="16.5" x14ac:dyDescent="0.45">
      <c r="B479" s="10" t="s">
        <v>584</v>
      </c>
      <c r="F479" s="74">
        <v>1311</v>
      </c>
      <c r="G479" s="112">
        <v>225</v>
      </c>
      <c r="H479" s="10"/>
      <c r="I479" s="71" t="b">
        <v>1</v>
      </c>
      <c r="J479" s="75">
        <v>46177</v>
      </c>
      <c r="O479" s="72" t="b">
        <v>0</v>
      </c>
      <c r="P479" s="26" t="str">
        <f t="shared" si="16"/>
        <v/>
      </c>
    </row>
    <row r="480" spans="2:16" ht="16.5" x14ac:dyDescent="0.45">
      <c r="B480" s="10" t="s">
        <v>677</v>
      </c>
      <c r="F480" s="74">
        <v>1312</v>
      </c>
      <c r="G480" s="9">
        <v>450</v>
      </c>
      <c r="H480" s="10"/>
      <c r="I480" s="71" t="b">
        <v>1</v>
      </c>
      <c r="J480" s="75">
        <v>46180</v>
      </c>
      <c r="O480" s="72" t="b">
        <v>0</v>
      </c>
      <c r="P480" s="26" t="str">
        <f t="shared" si="16"/>
        <v/>
      </c>
    </row>
    <row r="481" spans="2:16" ht="16.5" x14ac:dyDescent="0.45">
      <c r="B481" s="10" t="s">
        <v>678</v>
      </c>
      <c r="F481" s="74">
        <v>1313</v>
      </c>
      <c r="G481" s="112">
        <v>225</v>
      </c>
      <c r="H481" s="10"/>
      <c r="I481" s="71" t="b">
        <v>1</v>
      </c>
      <c r="J481" s="75">
        <v>46181</v>
      </c>
      <c r="O481" s="72" t="b">
        <v>0</v>
      </c>
      <c r="P481" s="26" t="str">
        <f t="shared" si="16"/>
        <v/>
      </c>
    </row>
    <row r="482" spans="2:16" ht="16.5" x14ac:dyDescent="0.45">
      <c r="B482" s="10" t="s">
        <v>679</v>
      </c>
      <c r="F482" s="74">
        <v>1314</v>
      </c>
      <c r="G482" s="112">
        <v>225</v>
      </c>
      <c r="H482" s="10"/>
      <c r="I482" s="71" t="b">
        <v>1</v>
      </c>
      <c r="J482" s="76">
        <v>46181</v>
      </c>
      <c r="O482" s="72" t="b">
        <v>0</v>
      </c>
      <c r="P482" s="26" t="str">
        <f t="shared" si="16"/>
        <v/>
      </c>
    </row>
    <row r="483" spans="2:16" ht="16.5" x14ac:dyDescent="0.45">
      <c r="B483" s="10" t="s">
        <v>680</v>
      </c>
      <c r="F483" s="74">
        <v>1315</v>
      </c>
      <c r="G483" s="112">
        <v>225</v>
      </c>
      <c r="H483" s="10"/>
      <c r="I483" s="71" t="b">
        <v>1</v>
      </c>
      <c r="J483" s="76">
        <v>46183</v>
      </c>
      <c r="O483" s="72" t="b">
        <v>0</v>
      </c>
      <c r="P483" s="26" t="str">
        <f t="shared" si="16"/>
        <v/>
      </c>
    </row>
    <row r="484" spans="2:16" ht="16.5" x14ac:dyDescent="0.45">
      <c r="B484" s="10" t="s">
        <v>681</v>
      </c>
      <c r="F484" s="74">
        <v>1316</v>
      </c>
      <c r="G484" s="112">
        <v>225</v>
      </c>
      <c r="H484" s="10"/>
      <c r="I484" s="71" t="b">
        <v>1</v>
      </c>
      <c r="J484" s="75">
        <v>46183</v>
      </c>
      <c r="O484" s="72" t="b">
        <v>0</v>
      </c>
      <c r="P484" s="26" t="str">
        <f t="shared" si="16"/>
        <v/>
      </c>
    </row>
    <row r="485" spans="2:16" ht="16.5" x14ac:dyDescent="0.45">
      <c r="B485" s="10" t="s">
        <v>682</v>
      </c>
      <c r="F485" s="74">
        <v>1317</v>
      </c>
      <c r="G485" s="112">
        <v>225</v>
      </c>
      <c r="H485" s="10"/>
      <c r="I485" s="71" t="b">
        <v>1</v>
      </c>
      <c r="J485" s="75">
        <v>46185</v>
      </c>
      <c r="O485" s="72" t="b">
        <v>0</v>
      </c>
      <c r="P485" s="26" t="str">
        <f t="shared" si="16"/>
        <v/>
      </c>
    </row>
    <row r="486" spans="2:16" ht="16.5" x14ac:dyDescent="0.45">
      <c r="B486" s="10" t="s">
        <v>683</v>
      </c>
      <c r="F486" s="74">
        <v>1318</v>
      </c>
      <c r="G486" s="112">
        <v>225</v>
      </c>
      <c r="H486" s="10"/>
      <c r="I486" s="71" t="b">
        <v>1</v>
      </c>
      <c r="J486" s="75">
        <v>46186</v>
      </c>
      <c r="O486" s="72" t="b">
        <v>0</v>
      </c>
      <c r="P486" s="26" t="str">
        <f t="shared" si="16"/>
        <v/>
      </c>
    </row>
    <row r="487" spans="2:16" ht="16.5" x14ac:dyDescent="0.45">
      <c r="B487" s="10" t="s">
        <v>684</v>
      </c>
      <c r="F487" s="74">
        <v>1319</v>
      </c>
      <c r="G487" s="112">
        <v>225</v>
      </c>
      <c r="H487" s="10"/>
      <c r="I487" s="71" t="b">
        <v>1</v>
      </c>
      <c r="J487" s="76">
        <v>46186</v>
      </c>
      <c r="O487" s="72" t="b">
        <v>0</v>
      </c>
      <c r="P487" s="26" t="str">
        <f t="shared" si="16"/>
        <v/>
      </c>
    </row>
    <row r="488" spans="2:16" ht="16.5" x14ac:dyDescent="0.45">
      <c r="B488" s="10" t="s">
        <v>685</v>
      </c>
      <c r="F488" s="74">
        <v>1320</v>
      </c>
      <c r="G488" s="112">
        <v>225</v>
      </c>
      <c r="H488" s="10"/>
      <c r="I488" s="71" t="b">
        <v>1</v>
      </c>
      <c r="J488" s="75">
        <v>46187</v>
      </c>
      <c r="O488" s="72" t="b">
        <v>1</v>
      </c>
      <c r="P488" s="26" t="str">
        <f t="shared" si="16"/>
        <v/>
      </c>
    </row>
    <row r="489" spans="2:16" ht="16.5" x14ac:dyDescent="0.45">
      <c r="B489" s="10" t="s">
        <v>686</v>
      </c>
      <c r="F489" s="74">
        <v>1321</v>
      </c>
      <c r="G489" s="112">
        <v>225</v>
      </c>
      <c r="H489" s="10"/>
      <c r="I489" s="71" t="b">
        <v>1</v>
      </c>
      <c r="J489" s="75">
        <v>46187</v>
      </c>
      <c r="O489" s="72" t="b">
        <v>0</v>
      </c>
      <c r="P489" s="26" t="str">
        <f t="shared" si="16"/>
        <v/>
      </c>
    </row>
    <row r="490" spans="2:16" ht="16.5" x14ac:dyDescent="0.45">
      <c r="B490" s="10" t="s">
        <v>687</v>
      </c>
      <c r="F490" s="74">
        <v>1322</v>
      </c>
      <c r="G490" s="112">
        <v>225</v>
      </c>
      <c r="H490" s="10"/>
      <c r="I490" s="71" t="b">
        <v>1</v>
      </c>
      <c r="J490" s="75">
        <v>46189</v>
      </c>
      <c r="O490" s="72" t="b">
        <v>0</v>
      </c>
      <c r="P490" s="26" t="str">
        <f t="shared" si="16"/>
        <v/>
      </c>
    </row>
    <row r="491" spans="2:16" ht="16.5" x14ac:dyDescent="0.45">
      <c r="B491" s="10" t="s">
        <v>688</v>
      </c>
      <c r="F491" s="74">
        <v>1323</v>
      </c>
      <c r="G491" s="112">
        <v>225</v>
      </c>
      <c r="H491" s="10"/>
      <c r="I491" s="71" t="b">
        <v>1</v>
      </c>
      <c r="J491" s="76">
        <v>46190</v>
      </c>
      <c r="O491" s="72" t="b">
        <v>0</v>
      </c>
      <c r="P491" s="26" t="str">
        <f t="shared" si="16"/>
        <v/>
      </c>
    </row>
    <row r="492" spans="2:16" ht="16.5" x14ac:dyDescent="0.45">
      <c r="B492" s="10" t="s">
        <v>689</v>
      </c>
      <c r="F492" s="74">
        <v>1324</v>
      </c>
      <c r="G492" s="112">
        <v>225</v>
      </c>
      <c r="H492" s="10"/>
      <c r="I492" s="71" t="b">
        <v>1</v>
      </c>
      <c r="J492" s="76">
        <v>46190</v>
      </c>
      <c r="O492" s="72" t="b">
        <v>0</v>
      </c>
      <c r="P492" s="26" t="str">
        <f t="shared" si="16"/>
        <v/>
      </c>
    </row>
    <row r="493" spans="2:16" ht="16.5" x14ac:dyDescent="0.45">
      <c r="B493" s="10" t="s">
        <v>690</v>
      </c>
      <c r="F493" s="74">
        <v>1325</v>
      </c>
      <c r="G493" s="112">
        <v>225</v>
      </c>
      <c r="H493" s="10"/>
      <c r="I493" s="71" t="b">
        <v>1</v>
      </c>
      <c r="J493" s="75">
        <v>46191</v>
      </c>
      <c r="O493" s="72" t="b">
        <v>0</v>
      </c>
      <c r="P493" s="26" t="str">
        <f t="shared" si="16"/>
        <v/>
      </c>
    </row>
    <row r="494" spans="2:16" ht="16.5" x14ac:dyDescent="0.45">
      <c r="B494" s="10" t="s">
        <v>691</v>
      </c>
      <c r="F494" s="74">
        <v>1326</v>
      </c>
      <c r="G494" s="9">
        <v>450</v>
      </c>
      <c r="H494" s="10"/>
      <c r="I494" s="71" t="b">
        <v>1</v>
      </c>
      <c r="J494" s="76">
        <v>46192</v>
      </c>
      <c r="O494" s="72" t="b">
        <v>1</v>
      </c>
      <c r="P494" s="26" t="str">
        <f t="shared" si="16"/>
        <v/>
      </c>
    </row>
    <row r="495" spans="2:16" ht="42.75" x14ac:dyDescent="0.45">
      <c r="B495" s="10" t="s">
        <v>692</v>
      </c>
      <c r="F495" s="74">
        <v>1328</v>
      </c>
      <c r="G495" s="112">
        <v>260</v>
      </c>
      <c r="H495" s="115"/>
      <c r="I495" s="116"/>
      <c r="J495" s="114"/>
      <c r="O495" s="118"/>
      <c r="P495" s="119"/>
    </row>
    <row r="496" spans="2:16" ht="16.5" x14ac:dyDescent="0.45">
      <c r="B496" s="10" t="s">
        <v>693</v>
      </c>
      <c r="F496" s="74">
        <v>1329</v>
      </c>
      <c r="G496" s="112">
        <v>260</v>
      </c>
      <c r="H496" s="10"/>
      <c r="I496" s="71" t="b">
        <v>1</v>
      </c>
      <c r="J496" s="76">
        <v>46197</v>
      </c>
      <c r="O496" s="72" t="b">
        <v>0</v>
      </c>
      <c r="P496" s="26" t="str">
        <f t="shared" ref="P496:P519" si="17">IF(M496="","",EDATE(M496,6))</f>
        <v/>
      </c>
    </row>
    <row r="497" spans="2:16" ht="16.5" x14ac:dyDescent="0.45">
      <c r="B497" s="10" t="s">
        <v>694</v>
      </c>
      <c r="F497" s="74">
        <v>1330</v>
      </c>
      <c r="G497" s="112">
        <v>260</v>
      </c>
      <c r="H497" s="10"/>
      <c r="I497" s="71" t="b">
        <v>1</v>
      </c>
      <c r="J497" s="76">
        <v>46197</v>
      </c>
      <c r="O497" s="72" t="b">
        <v>0</v>
      </c>
      <c r="P497" s="26" t="str">
        <f t="shared" si="17"/>
        <v/>
      </c>
    </row>
    <row r="498" spans="2:16" ht="16.5" x14ac:dyDescent="0.45">
      <c r="B498" s="10" t="s">
        <v>695</v>
      </c>
      <c r="F498" s="74">
        <v>1331</v>
      </c>
      <c r="G498" s="112">
        <v>260</v>
      </c>
      <c r="H498" s="10"/>
      <c r="I498" s="71" t="b">
        <v>1</v>
      </c>
      <c r="J498" s="76">
        <v>46197</v>
      </c>
      <c r="O498" s="72" t="b">
        <v>0</v>
      </c>
      <c r="P498" s="26" t="str">
        <f t="shared" si="17"/>
        <v/>
      </c>
    </row>
    <row r="499" spans="2:16" ht="16.5" x14ac:dyDescent="0.45">
      <c r="B499" s="10" t="s">
        <v>696</v>
      </c>
      <c r="F499" s="74">
        <v>1332</v>
      </c>
      <c r="G499" s="112">
        <v>260</v>
      </c>
      <c r="H499" s="10"/>
      <c r="I499" s="71" t="b">
        <v>1</v>
      </c>
      <c r="J499" s="76">
        <v>46200</v>
      </c>
      <c r="O499" s="72" t="b">
        <v>0</v>
      </c>
      <c r="P499" s="26" t="str">
        <f t="shared" si="17"/>
        <v/>
      </c>
    </row>
    <row r="500" spans="2:16" ht="16.5" x14ac:dyDescent="0.45">
      <c r="B500" s="10" t="s">
        <v>697</v>
      </c>
      <c r="F500" s="74">
        <v>1333</v>
      </c>
      <c r="G500" s="112">
        <v>260</v>
      </c>
      <c r="H500" s="10"/>
      <c r="I500" s="71" t="b">
        <v>1</v>
      </c>
      <c r="J500" s="75">
        <v>46199</v>
      </c>
      <c r="O500" s="72" t="b">
        <v>0</v>
      </c>
      <c r="P500" s="26" t="str">
        <f t="shared" si="17"/>
        <v/>
      </c>
    </row>
    <row r="501" spans="2:16" ht="16.5" x14ac:dyDescent="0.45">
      <c r="B501" s="10" t="s">
        <v>698</v>
      </c>
      <c r="F501" s="74">
        <v>1334</v>
      </c>
      <c r="G501" s="112">
        <v>260</v>
      </c>
      <c r="H501" s="10"/>
      <c r="I501" s="71" t="b">
        <v>1</v>
      </c>
      <c r="J501" s="76">
        <v>46201</v>
      </c>
      <c r="O501" s="72" t="b">
        <v>0</v>
      </c>
      <c r="P501" s="26" t="str">
        <f t="shared" si="17"/>
        <v/>
      </c>
    </row>
    <row r="502" spans="2:16" ht="16.5" x14ac:dyDescent="0.45">
      <c r="B502" s="10" t="s">
        <v>699</v>
      </c>
      <c r="F502" s="74">
        <v>1335</v>
      </c>
      <c r="G502" s="112">
        <v>260</v>
      </c>
      <c r="H502" s="10"/>
      <c r="I502" s="71" t="b">
        <v>1</v>
      </c>
      <c r="J502" s="76">
        <v>46203</v>
      </c>
      <c r="O502" s="72" t="b">
        <v>0</v>
      </c>
      <c r="P502" s="26" t="str">
        <f t="shared" si="17"/>
        <v/>
      </c>
    </row>
    <row r="503" spans="2:16" ht="16.5" x14ac:dyDescent="0.45">
      <c r="B503" s="10" t="s">
        <v>700</v>
      </c>
      <c r="F503" s="74">
        <v>1336</v>
      </c>
      <c r="G503" s="112">
        <v>260</v>
      </c>
      <c r="H503" s="10"/>
      <c r="I503" s="71" t="b">
        <v>1</v>
      </c>
      <c r="J503" s="76">
        <v>46203</v>
      </c>
      <c r="O503" s="72" t="b">
        <v>0</v>
      </c>
      <c r="P503" s="26" t="str">
        <f t="shared" si="17"/>
        <v/>
      </c>
    </row>
    <row r="504" spans="2:16" ht="16.5" x14ac:dyDescent="0.45">
      <c r="B504" s="10" t="s">
        <v>701</v>
      </c>
      <c r="F504" s="74">
        <v>1337</v>
      </c>
      <c r="G504" s="112">
        <v>260</v>
      </c>
      <c r="H504" s="10"/>
      <c r="I504" s="71" t="b">
        <v>1</v>
      </c>
      <c r="J504" s="76">
        <v>46205</v>
      </c>
      <c r="O504" s="72" t="b">
        <v>0</v>
      </c>
      <c r="P504" s="26" t="str">
        <f t="shared" si="17"/>
        <v/>
      </c>
    </row>
    <row r="505" spans="2:16" ht="33" x14ac:dyDescent="0.8">
      <c r="B505" s="73" t="s">
        <v>702</v>
      </c>
      <c r="F505" s="74">
        <v>1338</v>
      </c>
      <c r="G505" s="112">
        <v>260</v>
      </c>
      <c r="H505" s="10" t="s">
        <v>744</v>
      </c>
      <c r="I505" s="71"/>
      <c r="J505" s="76">
        <v>46205</v>
      </c>
      <c r="O505" s="72" t="b">
        <v>1</v>
      </c>
      <c r="P505" s="26" t="str">
        <f t="shared" si="17"/>
        <v/>
      </c>
    </row>
    <row r="506" spans="2:16" ht="16.899999999999999" x14ac:dyDescent="0.8">
      <c r="B506" s="73" t="s">
        <v>703</v>
      </c>
      <c r="F506" s="74">
        <v>1339</v>
      </c>
      <c r="G506" s="112">
        <v>260</v>
      </c>
      <c r="H506" s="10"/>
      <c r="I506" s="71" t="b">
        <v>1</v>
      </c>
      <c r="J506" s="76">
        <v>46206</v>
      </c>
      <c r="O506" s="72" t="b">
        <v>0</v>
      </c>
      <c r="P506" s="26" t="str">
        <f t="shared" si="17"/>
        <v/>
      </c>
    </row>
    <row r="507" spans="2:16" ht="16.899999999999999" x14ac:dyDescent="0.8">
      <c r="B507" s="73" t="s">
        <v>704</v>
      </c>
      <c r="F507" s="74">
        <v>1340</v>
      </c>
      <c r="G507" s="112">
        <v>260</v>
      </c>
      <c r="H507" s="10"/>
      <c r="I507" s="71" t="b">
        <v>1</v>
      </c>
      <c r="J507" s="75">
        <v>46208</v>
      </c>
      <c r="O507" s="72" t="b">
        <v>0</v>
      </c>
      <c r="P507" s="26" t="str">
        <f t="shared" si="17"/>
        <v/>
      </c>
    </row>
    <row r="508" spans="2:16" ht="16.5" x14ac:dyDescent="0.45">
      <c r="B508" s="10" t="s">
        <v>705</v>
      </c>
      <c r="F508" s="74">
        <v>1341</v>
      </c>
      <c r="G508" s="112">
        <v>260</v>
      </c>
      <c r="H508" s="10"/>
      <c r="I508" s="71" t="b">
        <v>1</v>
      </c>
      <c r="J508" s="75">
        <v>46208</v>
      </c>
      <c r="O508" s="72" t="b">
        <v>0</v>
      </c>
      <c r="P508" s="26" t="str">
        <f t="shared" si="17"/>
        <v/>
      </c>
    </row>
    <row r="509" spans="2:16" ht="16.5" x14ac:dyDescent="0.45">
      <c r="B509" s="10" t="s">
        <v>706</v>
      </c>
      <c r="F509" s="74">
        <v>1342</v>
      </c>
      <c r="G509" s="112">
        <v>260</v>
      </c>
      <c r="H509" s="10"/>
      <c r="I509" s="71" t="b">
        <v>1</v>
      </c>
      <c r="J509" s="76">
        <v>46209</v>
      </c>
      <c r="O509" s="72" t="b">
        <v>0</v>
      </c>
      <c r="P509" s="26" t="str">
        <f t="shared" si="17"/>
        <v/>
      </c>
    </row>
    <row r="510" spans="2:16" ht="16.5" x14ac:dyDescent="0.45">
      <c r="B510" s="10" t="s">
        <v>707</v>
      </c>
      <c r="F510" s="74">
        <v>1343</v>
      </c>
      <c r="G510" s="112">
        <v>260</v>
      </c>
      <c r="H510" s="10"/>
      <c r="I510" s="71" t="b">
        <v>1</v>
      </c>
      <c r="J510" s="76">
        <v>46210</v>
      </c>
      <c r="O510" s="72" t="b">
        <v>1</v>
      </c>
      <c r="P510" s="26" t="str">
        <f t="shared" si="17"/>
        <v/>
      </c>
    </row>
    <row r="511" spans="2:16" ht="16.899999999999999" x14ac:dyDescent="0.8">
      <c r="B511" s="73" t="s">
        <v>708</v>
      </c>
      <c r="F511" s="74">
        <v>1344</v>
      </c>
      <c r="G511" s="112">
        <v>260</v>
      </c>
      <c r="H511" s="10"/>
      <c r="I511" s="71" t="b">
        <v>1</v>
      </c>
      <c r="J511" s="76">
        <v>46210</v>
      </c>
      <c r="O511" s="72" t="b">
        <v>0</v>
      </c>
      <c r="P511" s="26" t="str">
        <f t="shared" si="17"/>
        <v/>
      </c>
    </row>
    <row r="512" spans="2:16" ht="16.899999999999999" x14ac:dyDescent="0.8">
      <c r="B512" s="73" t="s">
        <v>709</v>
      </c>
      <c r="F512" s="74">
        <v>1345</v>
      </c>
      <c r="G512" s="112">
        <v>260</v>
      </c>
      <c r="H512" s="10"/>
      <c r="I512" s="71" t="b">
        <v>1</v>
      </c>
      <c r="J512" s="76">
        <v>46211</v>
      </c>
      <c r="O512" s="72" t="b">
        <v>0</v>
      </c>
      <c r="P512" s="26" t="str">
        <f t="shared" si="17"/>
        <v/>
      </c>
    </row>
    <row r="513" spans="2:16" ht="16.899999999999999" x14ac:dyDescent="0.8">
      <c r="B513" s="73" t="s">
        <v>710</v>
      </c>
      <c r="F513" s="74">
        <v>1346</v>
      </c>
      <c r="G513" s="112">
        <v>260</v>
      </c>
      <c r="H513" s="10"/>
      <c r="I513" s="71" t="b">
        <v>1</v>
      </c>
      <c r="J513" s="76">
        <v>46212</v>
      </c>
      <c r="O513" s="72" t="b">
        <v>0</v>
      </c>
      <c r="P513" s="26" t="str">
        <f t="shared" si="17"/>
        <v/>
      </c>
    </row>
    <row r="514" spans="2:16" ht="16.5" x14ac:dyDescent="0.45">
      <c r="B514" s="10" t="s">
        <v>400</v>
      </c>
      <c r="F514" s="74">
        <v>1347</v>
      </c>
      <c r="G514" s="112">
        <v>260</v>
      </c>
      <c r="H514" s="10"/>
      <c r="I514" s="71" t="b">
        <v>1</v>
      </c>
      <c r="J514" s="75">
        <v>46215</v>
      </c>
      <c r="O514" s="72" t="b">
        <v>0</v>
      </c>
      <c r="P514" s="26" t="str">
        <f t="shared" si="17"/>
        <v/>
      </c>
    </row>
    <row r="515" spans="2:16" ht="16.5" x14ac:dyDescent="0.45">
      <c r="B515" s="10" t="s">
        <v>711</v>
      </c>
      <c r="F515" s="74">
        <v>1348</v>
      </c>
      <c r="G515" s="112">
        <v>260</v>
      </c>
      <c r="H515" s="10"/>
      <c r="I515" s="71" t="b">
        <v>1</v>
      </c>
      <c r="J515" s="75">
        <v>46217</v>
      </c>
      <c r="O515" s="72" t="b">
        <v>0</v>
      </c>
      <c r="P515" s="26" t="str">
        <f t="shared" si="17"/>
        <v/>
      </c>
    </row>
    <row r="516" spans="2:16" ht="82.5" x14ac:dyDescent="0.45">
      <c r="B516" s="10" t="s">
        <v>712</v>
      </c>
      <c r="F516" s="74">
        <v>1349</v>
      </c>
      <c r="G516" s="112">
        <v>260</v>
      </c>
      <c r="H516" s="10" t="s">
        <v>745</v>
      </c>
      <c r="I516" s="71" t="b">
        <v>1</v>
      </c>
      <c r="J516" s="75">
        <v>46217</v>
      </c>
      <c r="O516" s="72" t="b">
        <v>0</v>
      </c>
      <c r="P516" s="26" t="str">
        <f t="shared" si="17"/>
        <v/>
      </c>
    </row>
    <row r="517" spans="2:16" ht="16.5" x14ac:dyDescent="0.45">
      <c r="B517" s="10" t="s">
        <v>713</v>
      </c>
      <c r="F517" s="74">
        <v>1350</v>
      </c>
      <c r="G517" s="112">
        <v>260</v>
      </c>
      <c r="H517" s="10"/>
      <c r="I517" s="71" t="b">
        <v>1</v>
      </c>
      <c r="J517" s="75">
        <v>46217</v>
      </c>
      <c r="O517" s="72" t="b">
        <v>0</v>
      </c>
      <c r="P517" s="26" t="str">
        <f t="shared" si="17"/>
        <v/>
      </c>
    </row>
    <row r="518" spans="2:16" ht="16.5" x14ac:dyDescent="0.45">
      <c r="B518" s="10" t="s">
        <v>714</v>
      </c>
      <c r="F518" s="74">
        <v>1351</v>
      </c>
      <c r="G518" s="112">
        <v>260</v>
      </c>
      <c r="H518" s="10"/>
      <c r="I518" s="71" t="b">
        <v>1</v>
      </c>
      <c r="J518" s="76">
        <v>46218</v>
      </c>
      <c r="O518" s="72" t="b">
        <v>0</v>
      </c>
      <c r="P518" s="26" t="str">
        <f t="shared" si="17"/>
        <v/>
      </c>
    </row>
    <row r="519" spans="2:16" ht="16.5" x14ac:dyDescent="0.45">
      <c r="B519" s="10" t="s">
        <v>715</v>
      </c>
      <c r="F519" s="74">
        <v>1352</v>
      </c>
      <c r="G519" s="112">
        <v>260</v>
      </c>
      <c r="H519" s="10"/>
      <c r="I519" s="71" t="b">
        <v>1</v>
      </c>
      <c r="J519" s="76">
        <v>46218</v>
      </c>
      <c r="O519" s="72" t="b">
        <v>0</v>
      </c>
      <c r="P519" s="26" t="str">
        <f t="shared" si="17"/>
        <v/>
      </c>
    </row>
    <row r="520" spans="2:16" ht="16.5" x14ac:dyDescent="0.45">
      <c r="B520" s="10" t="s">
        <v>716</v>
      </c>
      <c r="F520" s="74">
        <v>1353</v>
      </c>
      <c r="G520" s="112">
        <v>260</v>
      </c>
      <c r="H520" s="10"/>
      <c r="I520" s="71" t="b">
        <v>1</v>
      </c>
      <c r="J520" s="75">
        <v>46219</v>
      </c>
      <c r="O520" s="72" t="b">
        <v>0</v>
      </c>
      <c r="P520" s="26">
        <v>46404</v>
      </c>
    </row>
    <row r="521" spans="2:16" ht="16.5" x14ac:dyDescent="0.45">
      <c r="B521" s="10" t="s">
        <v>717</v>
      </c>
      <c r="F521" s="74">
        <v>1354</v>
      </c>
      <c r="G521" s="112">
        <v>260</v>
      </c>
      <c r="H521" s="10"/>
      <c r="I521" s="71" t="b">
        <v>1</v>
      </c>
      <c r="J521" s="76">
        <v>46219</v>
      </c>
      <c r="O521" s="72" t="b">
        <v>0</v>
      </c>
      <c r="P521" s="26" t="str">
        <f t="shared" ref="P521:P542" si="18">IF(M521="","",EDATE(M521,6))</f>
        <v/>
      </c>
    </row>
    <row r="522" spans="2:16" ht="16.5" x14ac:dyDescent="0.45">
      <c r="B522" s="10" t="s">
        <v>718</v>
      </c>
      <c r="F522" s="74">
        <v>1355</v>
      </c>
      <c r="G522" s="112">
        <v>260</v>
      </c>
      <c r="H522" s="10"/>
      <c r="I522" s="71" t="b">
        <v>1</v>
      </c>
      <c r="J522" s="79">
        <v>46220</v>
      </c>
      <c r="O522" s="72" t="b">
        <v>1</v>
      </c>
      <c r="P522" s="26" t="str">
        <f t="shared" si="18"/>
        <v/>
      </c>
    </row>
    <row r="523" spans="2:16" ht="16.5" x14ac:dyDescent="0.45">
      <c r="B523" s="10" t="s">
        <v>719</v>
      </c>
      <c r="F523" s="74">
        <v>1356</v>
      </c>
      <c r="G523" s="112">
        <v>260</v>
      </c>
      <c r="H523" s="10"/>
      <c r="I523" s="71" t="b">
        <v>1</v>
      </c>
      <c r="J523" s="76">
        <v>46223</v>
      </c>
      <c r="O523" s="72" t="b">
        <v>0</v>
      </c>
      <c r="P523" s="26" t="str">
        <f t="shared" si="18"/>
        <v/>
      </c>
    </row>
    <row r="524" spans="2:16" ht="16.5" x14ac:dyDescent="0.45">
      <c r="B524" s="10" t="s">
        <v>720</v>
      </c>
      <c r="F524" s="74">
        <v>1357</v>
      </c>
      <c r="G524" s="112">
        <v>260</v>
      </c>
      <c r="H524" s="10"/>
      <c r="I524" s="71" t="b">
        <v>1</v>
      </c>
      <c r="J524" s="76">
        <v>46225</v>
      </c>
      <c r="O524" s="72" t="b">
        <v>0</v>
      </c>
      <c r="P524" s="26" t="str">
        <f t="shared" si="18"/>
        <v/>
      </c>
    </row>
    <row r="525" spans="2:16" ht="16.5" x14ac:dyDescent="0.45">
      <c r="B525" s="10" t="s">
        <v>720</v>
      </c>
      <c r="F525" s="74">
        <v>1358</v>
      </c>
      <c r="G525" s="112">
        <v>260</v>
      </c>
      <c r="H525" s="10"/>
      <c r="I525" s="71" t="b">
        <v>1</v>
      </c>
      <c r="J525" s="76">
        <v>46226</v>
      </c>
      <c r="O525" s="72" t="b">
        <v>0</v>
      </c>
      <c r="P525" s="26" t="str">
        <f t="shared" si="18"/>
        <v/>
      </c>
    </row>
    <row r="526" spans="2:16" ht="16.5" x14ac:dyDescent="0.45">
      <c r="B526" s="10" t="s">
        <v>721</v>
      </c>
      <c r="F526" s="74">
        <v>1359</v>
      </c>
      <c r="G526" s="112">
        <v>260</v>
      </c>
      <c r="H526" s="10"/>
      <c r="I526" s="71" t="b">
        <v>1</v>
      </c>
      <c r="J526" s="79">
        <v>46226</v>
      </c>
      <c r="O526" s="72" t="b">
        <v>0</v>
      </c>
      <c r="P526" s="26" t="str">
        <f t="shared" si="18"/>
        <v/>
      </c>
    </row>
    <row r="527" spans="2:16" ht="16.5" x14ac:dyDescent="0.45">
      <c r="B527" s="10" t="s">
        <v>722</v>
      </c>
      <c r="F527" s="74">
        <v>1360</v>
      </c>
      <c r="G527" s="112">
        <v>260</v>
      </c>
      <c r="H527" s="10"/>
      <c r="I527" s="71" t="b">
        <v>1</v>
      </c>
      <c r="J527" s="79">
        <v>46226</v>
      </c>
      <c r="O527" s="72" t="b">
        <v>0</v>
      </c>
      <c r="P527" s="26" t="str">
        <f t="shared" si="18"/>
        <v/>
      </c>
    </row>
    <row r="528" spans="2:16" ht="16.5" x14ac:dyDescent="0.45">
      <c r="B528" s="10" t="s">
        <v>723</v>
      </c>
      <c r="F528" s="74">
        <v>1361</v>
      </c>
      <c r="G528" s="112">
        <v>260</v>
      </c>
      <c r="H528" s="10"/>
      <c r="I528" s="71" t="b">
        <v>1</v>
      </c>
      <c r="J528" s="76">
        <v>46226</v>
      </c>
      <c r="O528" s="72" t="b">
        <v>0</v>
      </c>
      <c r="P528" s="26" t="str">
        <f t="shared" si="18"/>
        <v/>
      </c>
    </row>
    <row r="529" spans="2:16" ht="16.5" x14ac:dyDescent="0.45">
      <c r="B529" s="10" t="s">
        <v>724</v>
      </c>
      <c r="F529" s="74">
        <v>1362</v>
      </c>
      <c r="G529" s="112">
        <v>260</v>
      </c>
      <c r="H529" s="10"/>
      <c r="I529" s="71" t="b">
        <v>1</v>
      </c>
      <c r="J529" s="76">
        <v>46227</v>
      </c>
      <c r="O529" s="72" t="b">
        <v>0</v>
      </c>
      <c r="P529" s="26" t="str">
        <f t="shared" si="18"/>
        <v/>
      </c>
    </row>
    <row r="530" spans="2:16" ht="16.5" x14ac:dyDescent="0.45">
      <c r="B530" s="10" t="s">
        <v>725</v>
      </c>
      <c r="F530" s="74">
        <v>1363</v>
      </c>
      <c r="G530" s="112">
        <v>260</v>
      </c>
      <c r="H530" s="10"/>
      <c r="I530" s="71" t="b">
        <v>1</v>
      </c>
      <c r="J530" s="76">
        <v>46607</v>
      </c>
      <c r="O530" s="72" t="b">
        <v>1</v>
      </c>
      <c r="P530" s="26" t="str">
        <f t="shared" si="18"/>
        <v/>
      </c>
    </row>
    <row r="531" spans="2:16" ht="16.5" x14ac:dyDescent="0.45">
      <c r="B531" s="10" t="s">
        <v>726</v>
      </c>
      <c r="F531" s="74">
        <v>1364</v>
      </c>
      <c r="G531" s="112">
        <v>260</v>
      </c>
      <c r="H531" s="10"/>
      <c r="I531" s="71" t="b">
        <v>1</v>
      </c>
      <c r="J531" s="76">
        <v>46227</v>
      </c>
      <c r="O531" s="72" t="b">
        <v>0</v>
      </c>
      <c r="P531" s="26" t="str">
        <f t="shared" si="18"/>
        <v/>
      </c>
    </row>
    <row r="532" spans="2:16" ht="16.5" x14ac:dyDescent="0.45">
      <c r="B532" s="10" t="s">
        <v>727</v>
      </c>
      <c r="F532" s="74">
        <v>1365</v>
      </c>
      <c r="G532" s="112">
        <v>260</v>
      </c>
      <c r="H532" s="10"/>
      <c r="I532" s="71" t="b">
        <v>1</v>
      </c>
      <c r="J532" s="76">
        <v>46228</v>
      </c>
      <c r="O532" s="72" t="b">
        <v>0</v>
      </c>
      <c r="P532" s="26" t="str">
        <f t="shared" si="18"/>
        <v/>
      </c>
    </row>
    <row r="533" spans="2:16" ht="16.5" x14ac:dyDescent="0.45">
      <c r="B533" s="10" t="s">
        <v>728</v>
      </c>
      <c r="F533" s="74">
        <v>1366</v>
      </c>
      <c r="G533" s="112">
        <v>260</v>
      </c>
      <c r="H533" s="10"/>
      <c r="I533" s="71" t="b">
        <v>1</v>
      </c>
      <c r="J533" s="76">
        <v>46232</v>
      </c>
      <c r="O533" s="72" t="b">
        <v>0</v>
      </c>
      <c r="P533" s="26" t="str">
        <f t="shared" si="18"/>
        <v/>
      </c>
    </row>
    <row r="534" spans="2:16" ht="16.5" x14ac:dyDescent="0.45">
      <c r="B534" s="10" t="s">
        <v>729</v>
      </c>
      <c r="F534" s="74">
        <v>1367</v>
      </c>
      <c r="G534" s="112">
        <v>260</v>
      </c>
      <c r="H534" s="10"/>
      <c r="I534" s="71" t="b">
        <v>1</v>
      </c>
      <c r="J534" s="76">
        <v>46232</v>
      </c>
      <c r="O534" s="72" t="b">
        <v>1</v>
      </c>
      <c r="P534" s="26" t="str">
        <f t="shared" si="18"/>
        <v/>
      </c>
    </row>
    <row r="535" spans="2:16" ht="16.5" x14ac:dyDescent="0.45">
      <c r="B535" s="10" t="s">
        <v>680</v>
      </c>
      <c r="F535" s="74">
        <v>1368</v>
      </c>
      <c r="G535" s="112">
        <v>260</v>
      </c>
      <c r="H535" s="10"/>
      <c r="I535" s="71" t="b">
        <v>1</v>
      </c>
      <c r="J535" s="76">
        <v>46234</v>
      </c>
      <c r="O535" s="72" t="b">
        <v>0</v>
      </c>
      <c r="P535" s="26" t="str">
        <f t="shared" si="18"/>
        <v/>
      </c>
    </row>
    <row r="536" spans="2:16" ht="16.5" x14ac:dyDescent="0.45">
      <c r="B536" s="10" t="s">
        <v>730</v>
      </c>
      <c r="F536" s="74">
        <v>1369</v>
      </c>
      <c r="G536" s="112">
        <v>260</v>
      </c>
      <c r="H536" s="10"/>
      <c r="I536" s="71" t="b">
        <v>1</v>
      </c>
      <c r="J536" s="76">
        <v>46235</v>
      </c>
      <c r="O536" s="72" t="b">
        <v>0</v>
      </c>
      <c r="P536" s="26" t="str">
        <f t="shared" si="18"/>
        <v/>
      </c>
    </row>
    <row r="537" spans="2:16" ht="16.5" x14ac:dyDescent="0.45">
      <c r="B537" s="10" t="s">
        <v>731</v>
      </c>
      <c r="F537" s="74">
        <v>1370</v>
      </c>
      <c r="G537" s="112">
        <v>260</v>
      </c>
      <c r="H537" s="10"/>
      <c r="I537" s="71" t="b">
        <v>1</v>
      </c>
      <c r="J537" s="76">
        <v>46241</v>
      </c>
      <c r="O537" s="72" t="b">
        <v>0</v>
      </c>
      <c r="P537" s="26" t="str">
        <f t="shared" si="18"/>
        <v/>
      </c>
    </row>
    <row r="538" spans="2:16" ht="16.5" x14ac:dyDescent="0.45">
      <c r="B538" s="47" t="s">
        <v>732</v>
      </c>
      <c r="F538" s="111">
        <v>1371</v>
      </c>
      <c r="G538" s="112">
        <v>260</v>
      </c>
      <c r="H538" s="10"/>
      <c r="I538" s="71" t="b">
        <v>1</v>
      </c>
      <c r="J538" s="76">
        <v>46244</v>
      </c>
      <c r="O538" s="72" t="b">
        <v>0</v>
      </c>
      <c r="P538" s="26" t="str">
        <f t="shared" si="18"/>
        <v/>
      </c>
    </row>
    <row r="539" spans="2:16" ht="33" x14ac:dyDescent="0.45">
      <c r="B539" s="10" t="s">
        <v>733</v>
      </c>
      <c r="F539" s="74">
        <v>1372</v>
      </c>
      <c r="G539" s="112">
        <v>260</v>
      </c>
      <c r="H539" s="47" t="s">
        <v>746</v>
      </c>
      <c r="I539" s="71"/>
      <c r="J539" s="76">
        <v>46244</v>
      </c>
      <c r="O539" s="72"/>
      <c r="P539" s="26" t="str">
        <f t="shared" si="18"/>
        <v/>
      </c>
    </row>
    <row r="540" spans="2:16" ht="16.5" x14ac:dyDescent="0.45">
      <c r="B540" s="10" t="s">
        <v>734</v>
      </c>
      <c r="F540" s="74">
        <v>1373</v>
      </c>
      <c r="G540" s="112">
        <v>260</v>
      </c>
      <c r="H540" s="10"/>
      <c r="I540" s="71" t="b">
        <v>1</v>
      </c>
      <c r="J540" s="76">
        <v>46245</v>
      </c>
      <c r="O540" s="72" t="b">
        <v>0</v>
      </c>
      <c r="P540" s="26" t="str">
        <f t="shared" si="18"/>
        <v/>
      </c>
    </row>
    <row r="541" spans="2:16" ht="16.5" x14ac:dyDescent="0.45">
      <c r="B541" s="10" t="s">
        <v>735</v>
      </c>
      <c r="F541" s="74">
        <v>1374</v>
      </c>
      <c r="G541" s="112">
        <v>260</v>
      </c>
      <c r="H541" s="10"/>
      <c r="I541" s="71" t="b">
        <v>1</v>
      </c>
      <c r="J541" s="76">
        <v>46246</v>
      </c>
      <c r="O541" s="72" t="b">
        <v>0</v>
      </c>
      <c r="P541" s="26" t="str">
        <f t="shared" si="18"/>
        <v/>
      </c>
    </row>
    <row r="542" spans="2:16" ht="16.5" x14ac:dyDescent="0.45">
      <c r="H542" s="10"/>
      <c r="I542" s="71" t="b">
        <v>1</v>
      </c>
      <c r="J542" s="76">
        <v>46246</v>
      </c>
      <c r="O542" s="72" t="b">
        <v>0</v>
      </c>
      <c r="P542" s="26" t="str">
        <f t="shared" si="18"/>
        <v/>
      </c>
    </row>
  </sheetData>
  <conditionalFormatting sqref="J1 A1:H1">
    <cfRule type="expression" dxfId="40" priority="70">
      <formula>#REF!=TRUE</formula>
    </cfRule>
  </conditionalFormatting>
  <conditionalFormatting sqref="I1">
    <cfRule type="expression" dxfId="39" priority="76">
      <formula>H:H=TRUE</formula>
    </cfRule>
    <cfRule type="expression" dxfId="38" priority="77">
      <formula>G:G=TRUE</formula>
    </cfRule>
    <cfRule type="expression" dxfId="37" priority="78">
      <formula>G:G=FALSE</formula>
    </cfRule>
  </conditionalFormatting>
  <conditionalFormatting sqref="A2:A195">
    <cfRule type="expression" dxfId="36" priority="54">
      <formula>M:M=TRUE</formula>
    </cfRule>
  </conditionalFormatting>
  <conditionalFormatting sqref="B2:B195">
    <cfRule type="expression" dxfId="35" priority="40">
      <formula>M:M=TRUE</formula>
    </cfRule>
  </conditionalFormatting>
  <conditionalFormatting sqref="C2:C193 C195">
    <cfRule type="expression" dxfId="34" priority="42">
      <formula>M:M=TRUE</formula>
    </cfRule>
  </conditionalFormatting>
  <conditionalFormatting sqref="D2:E172 D174:E194 A196:A201">
    <cfRule type="expression" dxfId="33" priority="41">
      <formula>J:J=TRUE</formula>
    </cfRule>
  </conditionalFormatting>
  <conditionalFormatting sqref="F2:F195">
    <cfRule type="expression" dxfId="32" priority="55">
      <formula>M:M=TRUE</formula>
    </cfRule>
  </conditionalFormatting>
  <conditionalFormatting sqref="G2:G195 B202:B541">
    <cfRule type="expression" dxfId="31" priority="52">
      <formula>H:H=TRUE</formula>
    </cfRule>
  </conditionalFormatting>
  <conditionalFormatting sqref="H2:H195 F202:F541">
    <cfRule type="expression" dxfId="30" priority="53">
      <formula>K:K=TRUE</formula>
    </cfRule>
  </conditionalFormatting>
  <conditionalFormatting sqref="L2:L195 N2:N195">
    <cfRule type="expression" dxfId="29" priority="56">
      <formula>M:M=TRUE</formula>
    </cfRule>
  </conditionalFormatting>
  <conditionalFormatting sqref="P5:P195">
    <cfRule type="expression" dxfId="28" priority="57">
      <formula>AND(ISNUMBER(P5),TRUNC(P5)&lt;TODAY())</formula>
    </cfRule>
  </conditionalFormatting>
  <conditionalFormatting sqref="K2:K195">
    <cfRule type="expression" dxfId="27" priority="88">
      <formula>M:M=TRUE</formula>
    </cfRule>
    <cfRule type="expression" dxfId="26" priority="89">
      <formula>I:I=TRUE</formula>
    </cfRule>
    <cfRule type="expression" dxfId="25" priority="90">
      <formula>I:I=FALSE</formula>
    </cfRule>
  </conditionalFormatting>
  <conditionalFormatting sqref="M2:M195">
    <cfRule type="expression" dxfId="24" priority="92">
      <formula>M:M=TRUE</formula>
    </cfRule>
    <cfRule type="expression" dxfId="23" priority="93">
      <formula>K:K=TRUE</formula>
    </cfRule>
    <cfRule type="expression" dxfId="22" priority="94">
      <formula>K:K=FALSE</formula>
    </cfRule>
  </conditionalFormatting>
  <conditionalFormatting sqref="O2:O195">
    <cfRule type="expression" dxfId="21" priority="95">
      <formula>M:M=TRUE</formula>
    </cfRule>
    <cfRule type="expression" dxfId="20" priority="96">
      <formula>M:M=FALSE</formula>
    </cfRule>
  </conditionalFormatting>
  <conditionalFormatting sqref="P2:P195">
    <cfRule type="expression" dxfId="19" priority="97">
      <formula>M:M=TRUE</formula>
    </cfRule>
  </conditionalFormatting>
  <conditionalFormatting sqref="J196:J201">
    <cfRule type="expression" dxfId="18" priority="22">
      <formula>J:J=TRUE</formula>
    </cfRule>
  </conditionalFormatting>
  <conditionalFormatting sqref="I196:I201">
    <cfRule type="expression" dxfId="17" priority="23">
      <formula>J:J=TRUE</formula>
    </cfRule>
    <cfRule type="expression" dxfId="16" priority="24">
      <formula>I:I=TRUE</formula>
    </cfRule>
    <cfRule type="expression" dxfId="15" priority="25">
      <formula>I:I=FALSE</formula>
    </cfRule>
  </conditionalFormatting>
  <conditionalFormatting sqref="O196:O201">
    <cfRule type="expression" dxfId="14" priority="110">
      <formula>J:J=TRUE</formula>
    </cfRule>
    <cfRule type="expression" dxfId="13" priority="111">
      <formula>J:J=FALSE</formula>
    </cfRule>
  </conditionalFormatting>
  <conditionalFormatting sqref="P196:P201">
    <cfRule type="expression" dxfId="12" priority="112">
      <formula>J:J=TRUE</formula>
    </cfRule>
    <cfRule type="expression" dxfId="11" priority="113">
      <formula>AND(ISNUMBER(P196),TRUNC(P196)&lt;TODAY())</formula>
    </cfRule>
  </conditionalFormatting>
  <conditionalFormatting sqref="G290 G320 G352 G366:G367 G398 G476 G480 G494">
    <cfRule type="expression" dxfId="10" priority="19">
      <formula>K:K=TRUE</formula>
    </cfRule>
  </conditionalFormatting>
  <conditionalFormatting sqref="J202:J542">
    <cfRule type="expression" dxfId="9" priority="10">
      <formula>L:L=TRUE</formula>
    </cfRule>
  </conditionalFormatting>
  <conditionalFormatting sqref="H462">
    <cfRule type="expression" dxfId="8" priority="9">
      <formula>M:M=TRUE</formula>
    </cfRule>
  </conditionalFormatting>
  <conditionalFormatting sqref="H202:H542">
    <cfRule type="expression" dxfId="7" priority="8">
      <formula>K:K=TRUE</formula>
    </cfRule>
  </conditionalFormatting>
  <conditionalFormatting sqref="I202:I542">
    <cfRule type="expression" dxfId="6" priority="5">
      <formula>J:J=TRUE</formula>
    </cfRule>
    <cfRule type="expression" dxfId="5" priority="6">
      <formula>I:I=TRUE</formula>
    </cfRule>
    <cfRule type="expression" dxfId="4" priority="7">
      <formula>I:I=FALSE</formula>
    </cfRule>
  </conditionalFormatting>
  <conditionalFormatting sqref="O202:O542">
    <cfRule type="expression" dxfId="3" priority="2">
      <formula>O:O=TRUE</formula>
    </cfRule>
    <cfRule type="expression" dxfId="2" priority="3">
      <formula>O:O=FALSE</formula>
    </cfRule>
  </conditionalFormatting>
  <conditionalFormatting sqref="P202:P542">
    <cfRule type="expression" dxfId="1" priority="1">
      <formula>O:O=TRUE</formula>
    </cfRule>
    <cfRule type="expression" dxfId="0" priority="4">
      <formula>AND(ISNUMBER(P202),TRUNC(P202)&lt;TODAY())</formula>
    </cfRule>
  </conditionalFormatting>
  <hyperlinks>
    <hyperlink ref="H191" r:id="rId1" xr:uid="{50D4F9AE-95CE-4FF9-AFD2-151A008C220E}"/>
    <hyperlink ref="F194" location="'OT SHOPIFY'!E263" display="1291." xr:uid="{69EBB6D8-0DCB-4C29-BDB2-5CE28EACCBF9}"/>
    <hyperlink ref="F462" location="'OT PERSONALIZADAS'!G195" display="1,291" xr:uid="{729801AC-980E-480F-B8EC-A745352A4E89}"/>
  </hyperlinks>
  <pageMargins left="0.7" right="0.7" top="0.75" bottom="0.75" header="0.3" footer="0.3"/>
  <pageSetup paperSize="9" orientation="portrait" horizontalDpi="300" verticalDpi="300"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Urien Telleria, Ander</dc:creator>
  <cp:lastModifiedBy>Urien Telleria, Ander</cp:lastModifiedBy>
  <dcterms:created xsi:type="dcterms:W3CDTF">2026-08-19T07:34:29Z</dcterms:created>
  <dcterms:modified xsi:type="dcterms:W3CDTF">2026-08-19T09:14:48Z</dcterms:modified>
</cp:coreProperties>
</file>