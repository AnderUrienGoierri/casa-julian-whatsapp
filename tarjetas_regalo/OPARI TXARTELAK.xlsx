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T PERSONALIZADAS" sheetId="1" r:id="rId5"/>
    <sheet state="visible" name="OT WIX" sheetId="2" r:id="rId6"/>
    <sheet state="visible" name="OT SHOPIFY" sheetId="3" r:id="rId7"/>
    <sheet state="hidden" name="PEDIDOS" sheetId="4" r:id="rId8"/>
  </sheets>
  <definedNames>
    <definedName hidden="1" localSheetId="1" name="_xlnm._FilterDatabase">'OT WIX'!$A$1:$L$616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41">
      <text>
        <t xml:space="preserve">DEJAR VACÍO SINO SE BLOQUEA LA FORMULA</t>
      </text>
    </comment>
    <comment authorId="0" ref="C99">
      <text>
        <t xml:space="preserve">NÚMERO DE CONTACTO DE JOSUNE, LA DE LA RESERVA, 699405366</t>
      </text>
    </comment>
    <comment authorId="0" ref="E2">
      <text>
        <t xml:space="preserve">CUIDADO! SI SE APLICA ALGÚN OTRO FILTRO SE MODIFICA EL NºDE TARJETA REGALO, (EL VALOR SERÍA INCORRECTO)</t>
      </text>
    </comment>
    <comment authorId="0" ref="E65">
      <text>
        <t xml:space="preserve">No se puede crear en Revo</t>
      </text>
    </comment>
    <comment authorId="0" ref="E64">
      <text>
        <t xml:space="preserve">No se puede crear en Revo
</t>
      </text>
    </comment>
    <comment authorId="0" ref="E63">
      <text>
        <t xml:space="preserve">NO SE PUEDE CREAR EN REVO</t>
      </text>
    </comment>
    <comment authorId="0" ref="C52">
      <text>
        <t xml:space="preserve">telf comensal</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tc={65222bac-531f-4fcf-8428-d9df10011c82}</author>
  </authors>
  <commentList>
    <comment authorId="0" xr:uid="{65222bac-531f-4fcf-8428-d9df10011c82}" ref="C85">
      <text>
        <t xml:space="preserve">[Threaded comment]
 Your version of Excel allows you to read this threaded comment; however, any edits to it will get removed if the file is opened in a newer version of Excel. Learn more: https://go.microsoft.com/fwlink/?linkid=870924
Comment:
	Puede que haya 2 OTs rulando con el mismo número 1109. Una se le hizo a Pedro Mari pero finalmente se le cambió el código a PM0001. Comprobar remitente.
</t>
      </text>
    </comment>
  </commentList>
</comments>
</file>

<file path=xl/sharedStrings.xml><?xml version="1.0" encoding="utf-8"?>
<sst xmlns="http://schemas.openxmlformats.org/spreadsheetml/2006/main" count="2786" uniqueCount="1475">
  <si>
    <t>DATOS COMPRADOR</t>
  </si>
  <si>
    <t>F</t>
  </si>
  <si>
    <t>ESTADO</t>
  </si>
  <si>
    <t>PEDIDOS</t>
  </si>
  <si>
    <t>id</t>
  </si>
  <si>
    <t>NOMBRE</t>
  </si>
  <si>
    <t>TELF</t>
  </si>
  <si>
    <t>Nº COMENSALES</t>
  </si>
  <si>
    <t>NºTARJ.REG.</t>
  </si>
  <si>
    <t>IMPORTE</t>
  </si>
  <si>
    <t>OBSERVACIONES</t>
  </si>
  <si>
    <t>COMPRADO</t>
  </si>
  <si>
    <t>EGOITZ RIVAS LARREA (PAGADO 208€)</t>
  </si>
  <si>
    <t>NOMBRE COMENSAL</t>
  </si>
  <si>
    <t>CREADA EN REVO</t>
  </si>
  <si>
    <t>Nº</t>
  </si>
  <si>
    <t>5TX. DE 1KG</t>
  </si>
  <si>
    <t>USADO</t>
  </si>
  <si>
    <t>FECHA CADUCIDAD</t>
  </si>
  <si>
    <t>ACTIVO</t>
  </si>
  <si>
    <t>07/01/22 A LAS 11.30HORAS</t>
  </si>
  <si>
    <t>ENTREGADO</t>
  </si>
  <si>
    <t>FECHA</t>
  </si>
  <si>
    <t>VICTOR PRIETO LEON (PAGADO 572,80€)</t>
  </si>
  <si>
    <t>Ihintza solorzano</t>
  </si>
  <si>
    <t>NAIARA OTERMIN</t>
  </si>
  <si>
    <t>PAGADO</t>
  </si>
  <si>
    <t>12 TXULETAS</t>
  </si>
  <si>
    <t>ENVIO 01/04/22</t>
  </si>
  <si>
    <t>BORJA (PAGADO 326,80)</t>
  </si>
  <si>
    <t>8TXULETAS*38</t>
  </si>
  <si>
    <t>AMAIA UZKUDUN</t>
  </si>
  <si>
    <t>RECOGIDO</t>
  </si>
  <si>
    <t>LEIRE IZAGUIRRE</t>
  </si>
  <si>
    <t>VICOTOR PRIETO LEON (38€ KILO)</t>
  </si>
  <si>
    <t>NULL</t>
  </si>
  <si>
    <t>NO</t>
  </si>
  <si>
    <t>AINARA OTERO MARTINEZ</t>
  </si>
  <si>
    <t>VICTOR PRIETO LEON (38,50€ KILO)</t>
  </si>
  <si>
    <t>25 TXULETAS</t>
  </si>
  <si>
    <t>ENVIO 29/11/22</t>
  </si>
  <si>
    <t>GARAZI AZURMENDI BIKANDI</t>
  </si>
  <si>
    <t>OLAIA IRAOLA URTUBIA</t>
  </si>
  <si>
    <t>JON MERIDA LARRAÑAGA</t>
  </si>
  <si>
    <t>OIHANA GARBAYO BARCIA</t>
  </si>
  <si>
    <t>BEÑAT AGIRREZABAL ETXEBERRIA</t>
  </si>
  <si>
    <t>SORTEO HERRIKIDE</t>
  </si>
  <si>
    <t>Carlos Ruiz de Alegria Igartua</t>
  </si>
  <si>
    <t>JOSU ASTORKIA ARZA</t>
  </si>
  <si>
    <t>LUIS MARI REYES</t>
  </si>
  <si>
    <t>MIKEL-ANA</t>
  </si>
  <si>
    <t>MADDI TELLERIA ROBLES</t>
  </si>
  <si>
    <t>FERNANDEZ SANZ</t>
  </si>
  <si>
    <t>PAULA IRIGOIEN</t>
  </si>
  <si>
    <t>AINARA LIZARAZU</t>
  </si>
  <si>
    <t>LEIRE ZELAIA</t>
  </si>
  <si>
    <t>Gadea Azkue Eizagirre</t>
  </si>
  <si>
    <t>LEIRE SILVA AYERREGARAY</t>
  </si>
  <si>
    <t>EGOITZ EZKERRA</t>
  </si>
  <si>
    <t>AITZIBER GUIU ABARRATEGUI</t>
  </si>
  <si>
    <t>MANUEL EZKERRA</t>
  </si>
  <si>
    <t>Beatriz Imaz</t>
  </si>
  <si>
    <t>KOLDO BAIGORRI URRIZA</t>
  </si>
  <si>
    <t>ANTON SALEGUI</t>
  </si>
  <si>
    <t>Beñat Gauna Jauregui</t>
  </si>
  <si>
    <t>MIKEL ECHART IRASTORZA</t>
  </si>
  <si>
    <t>MAIDER PAVON VELA</t>
  </si>
  <si>
    <t>Unai Lertxundi</t>
  </si>
  <si>
    <t>GORRITXU LEKUONA</t>
  </si>
  <si>
    <t>ALEJANDRO MERA RODRIGUEZ</t>
  </si>
  <si>
    <t xml:space="preserve">
Jon Doistua Hermoso</t>
  </si>
  <si>
    <t>GASTRONOMICA BERAZUBI (INVITACIÓN MATIAS GORR)</t>
  </si>
  <si>
    <t>ANDER GOROSTEGI</t>
  </si>
  <si>
    <t>Maider Eraunzetamurgil</t>
  </si>
  <si>
    <t>OLATZ ZUBIMENDI PIKABEA</t>
  </si>
  <si>
    <t>IURRAMENDI IBILTOKIA</t>
  </si>
  <si>
    <t>1/22</t>
  </si>
  <si>
    <t xml:space="preserve">HACER MENU DE UNOS 180 </t>
  </si>
  <si>
    <t>Unai Rodríguez</t>
  </si>
  <si>
    <t>AINTZANE AGUIRRE OTAMENDI</t>
  </si>
  <si>
    <t>2/22</t>
  </si>
  <si>
    <t>ANE AZKONOBIETA</t>
  </si>
  <si>
    <t>igor custardoy ortiz de elguea</t>
  </si>
  <si>
    <t>JOANA LERTXUNDI</t>
  </si>
  <si>
    <t>ISAAC PEREZ DEL BARRIO</t>
  </si>
  <si>
    <t>juanjo seijo</t>
  </si>
  <si>
    <t>MENDIZABAL ELDUAYEN</t>
  </si>
  <si>
    <t>IGONE ARREGI URKOLA</t>
  </si>
  <si>
    <t>3/22</t>
  </si>
  <si>
    <t>ANTONIO WENCESLAO UBILLOS</t>
  </si>
  <si>
    <t>PEDRO TOME</t>
  </si>
  <si>
    <t>FAMILIAKOAK</t>
  </si>
  <si>
    <t>MUGICA</t>
  </si>
  <si>
    <t>4/22</t>
  </si>
  <si>
    <t>SALOME XUBI ENGRANAJES</t>
  </si>
  <si>
    <t>-</t>
  </si>
  <si>
    <t>SHARON WATSON</t>
  </si>
  <si>
    <t>5/22</t>
  </si>
  <si>
    <t>Gaizka Txasko Posa</t>
  </si>
  <si>
    <t>UNAI GARCIA JESUS</t>
  </si>
  <si>
    <t>JULEN</t>
  </si>
  <si>
    <t>ITZIAR</t>
  </si>
  <si>
    <t>6/22</t>
  </si>
  <si>
    <t>REBECA GARCIA VACAS</t>
  </si>
  <si>
    <t>ASIER URBE OLALLA</t>
  </si>
  <si>
    <t>LIZARDI INMOBILIARIA</t>
  </si>
  <si>
    <t>ANGEL ANDUÑO</t>
  </si>
  <si>
    <t>PAGARON 180€ . P-P- XABI</t>
  </si>
  <si>
    <t>IZASKUN GARMENDIA</t>
  </si>
  <si>
    <t>aitor iriarte ijurra</t>
  </si>
  <si>
    <t>IÑIGO BERAZA ARBIZU</t>
  </si>
  <si>
    <t>IRATI ELORRIAGA ETA PABLO</t>
  </si>
  <si>
    <t>Elvira Diez</t>
  </si>
  <si>
    <t>GEMMA SANCHEZ SANCHEZ</t>
  </si>
  <si>
    <t>IKER ZUBILLAGA</t>
  </si>
  <si>
    <t>IÑIGO ALTUNA</t>
  </si>
  <si>
    <t>9/22</t>
  </si>
  <si>
    <t>Darren O'Sullivan</t>
  </si>
  <si>
    <t>JOSE TORRENTS PEDRAGOSA</t>
  </si>
  <si>
    <t>Monica Alcibar</t>
  </si>
  <si>
    <t>PABLO ARTOLA GARIKANO</t>
  </si>
  <si>
    <t>10/22</t>
  </si>
  <si>
    <t>TRANSFERENCIA DE 180€ P.P. XABI</t>
  </si>
  <si>
    <t>XABIER ETXEBESTE IRAETA</t>
  </si>
  <si>
    <t>AIna Nieto Higueras</t>
  </si>
  <si>
    <t>Enrique Mocoroa Bello</t>
  </si>
  <si>
    <t>11/22</t>
  </si>
  <si>
    <t>RUTH AGUIRREZABALAGA VILLAR</t>
  </si>
  <si>
    <t>Pulido</t>
  </si>
  <si>
    <t>JOSUNE GARMENDIA</t>
  </si>
  <si>
    <t>Andoni Martinez</t>
  </si>
  <si>
    <t>AMAIA GURIDI BIKUÑA</t>
  </si>
  <si>
    <t>000000104</t>
  </si>
  <si>
    <t>Ane Jauregui Lasa</t>
  </si>
  <si>
    <t>IÑAKI ETXEBERRIA LEUNDA</t>
  </si>
  <si>
    <t>Ana Marin Temes</t>
  </si>
  <si>
    <t>COMPAÑEROS</t>
  </si>
  <si>
    <t>LUIS MARTINEZ</t>
  </si>
  <si>
    <t>12/22</t>
  </si>
  <si>
    <t>Ines Bergareche Tejera</t>
  </si>
  <si>
    <t>NEREA BIKUÑA DOMINGO</t>
  </si>
  <si>
    <t>Maider Garmendia Amiama</t>
  </si>
  <si>
    <t>OLATZ GOENAGA</t>
  </si>
  <si>
    <t>LEIRE GOENAGA</t>
  </si>
  <si>
    <t>13/22</t>
  </si>
  <si>
    <t>JONE BIZENTE</t>
  </si>
  <si>
    <t>Jose Luis Adurriaga</t>
  </si>
  <si>
    <t>Teresa Recarte Beldarrain</t>
  </si>
  <si>
    <t>MIGUEL CRUZ</t>
  </si>
  <si>
    <t>ALEJANDRO GOYA</t>
  </si>
  <si>
    <t>14/22</t>
  </si>
  <si>
    <t>Garcia González</t>
  </si>
  <si>
    <t>OIANE ERRAZQUIN</t>
  </si>
  <si>
    <t>PENDIENTE  (PAGARÁ DESPUÉS)</t>
  </si>
  <si>
    <t>Imanol Anta Larrea</t>
  </si>
  <si>
    <t>KOLDO LIZARRA</t>
  </si>
  <si>
    <t>LUIS AGUIRRE SAROBE+JASONE</t>
  </si>
  <si>
    <t>15/22</t>
  </si>
  <si>
    <t>ANDONI MATEOS CABERO</t>
  </si>
  <si>
    <t>Ianire Tejedo</t>
  </si>
  <si>
    <t>Maider Etxagibel Galdos</t>
  </si>
  <si>
    <t>BEATRIZ ZOROKIAN</t>
  </si>
  <si>
    <t>AROIA ALTUNA IBARGUREN</t>
  </si>
  <si>
    <t>16/22</t>
  </si>
  <si>
    <t>Deborah Arellano</t>
  </si>
  <si>
    <t>AMAGOIA ZULAIKA</t>
  </si>
  <si>
    <t>ELENA ASENJO MURUAGA</t>
  </si>
  <si>
    <t>17/22</t>
  </si>
  <si>
    <t>Celia Pérez García</t>
  </si>
  <si>
    <t>PAGADO 180€ XABI</t>
  </si>
  <si>
    <t>icardo aramburu granado</t>
  </si>
  <si>
    <t>AINHOA ALCORTA</t>
  </si>
  <si>
    <t>M LUISA ORUETA BIAIN</t>
  </si>
  <si>
    <t>18/22</t>
  </si>
  <si>
    <t>NO COBRAR (XABI)</t>
  </si>
  <si>
    <t>Ion Aiestaran</t>
  </si>
  <si>
    <t>Guillermo Lloidi</t>
  </si>
  <si>
    <t>XABIER</t>
  </si>
  <si>
    <t>ESTEBAN PEREZ + GLORIA</t>
  </si>
  <si>
    <t xml:space="preserve"> ANDER MARTINEZ PUENTE</t>
  </si>
  <si>
    <t>19/22</t>
  </si>
  <si>
    <t>Nagore Garcia</t>
  </si>
  <si>
    <t>IBON LAPLA</t>
  </si>
  <si>
    <t>Mirian Calvo Zubelzu</t>
  </si>
  <si>
    <t>ALEX RODRIGUES</t>
  </si>
  <si>
    <t>20/22</t>
  </si>
  <si>
    <t>PASARÁ A PAGAR</t>
  </si>
  <si>
    <t>XABIER ANDREU</t>
  </si>
  <si>
    <t>MIKEL ARISTU KORTAZAR</t>
  </si>
  <si>
    <t>ARANTXA ETA MIGUEL</t>
  </si>
  <si>
    <t>21/22</t>
  </si>
  <si>
    <t>DEVOLUCIÓN BIZUM XABI GORROTXA</t>
  </si>
  <si>
    <t>MIKMAR INGENIEROS SL JAVIER BERRIO</t>
  </si>
  <si>
    <t>FAMILIA CATALA SANCHEZ</t>
  </si>
  <si>
    <t>22/22</t>
  </si>
  <si>
    <t>XANTI SORRON LIZASO</t>
  </si>
  <si>
    <t>JON ARTEAGA</t>
  </si>
  <si>
    <t>Jon Irisarri</t>
  </si>
  <si>
    <t>MARI PAZ LARRINAGA</t>
  </si>
  <si>
    <t>01/23</t>
  </si>
  <si>
    <t>PAGADO VISA</t>
  </si>
  <si>
    <t>Beñat Azpillaga Gurruchaga</t>
  </si>
  <si>
    <t>AITOR OIARTZABAL</t>
  </si>
  <si>
    <t>Telmo Garcia Aizpuru</t>
  </si>
  <si>
    <t>ARANTXA GARMENDIA</t>
  </si>
  <si>
    <t>2/23</t>
  </si>
  <si>
    <t xml:space="preserve">ANOETAKO HERRI IKASTOLA F20072542 </t>
  </si>
  <si>
    <t>Jon Iturralde Barrutia</t>
  </si>
  <si>
    <t>Iker Postigo Zuaznabar</t>
  </si>
  <si>
    <t>LEIRE URANGA</t>
  </si>
  <si>
    <t>3/23</t>
  </si>
  <si>
    <t>JOSEBA PICAZA</t>
  </si>
  <si>
    <t>Mariana Rosca</t>
  </si>
  <si>
    <t>PEDRO ETXEZARRETA</t>
  </si>
  <si>
    <t>OT anterior al 2023. Se le hizo el favor de hacerle la resserva y ue usase la ot  como descuento y cancelo la reserva 1 dia antes (excusa: enfermedad) Si llama decirle que ya no hay una segunda oportunidad)</t>
  </si>
  <si>
    <t>COLM MACCABA</t>
  </si>
  <si>
    <t>4/23</t>
  </si>
  <si>
    <t>Laura aldanondo</t>
  </si>
  <si>
    <t>DAVID Y SOFIA</t>
  </si>
  <si>
    <t>FELIPE</t>
  </si>
  <si>
    <t>5/23</t>
  </si>
  <si>
    <t>Alba Garcia</t>
  </si>
  <si>
    <t>FRANCISCO MEDINA</t>
  </si>
  <si>
    <t>AINHOA SIMPLER</t>
  </si>
  <si>
    <t>ESTANIS ARSUAGA</t>
  </si>
  <si>
    <t>6/23</t>
  </si>
  <si>
    <t>Pablo Hernani Gil</t>
  </si>
  <si>
    <t>TOLOSA UDALETXEA</t>
  </si>
  <si>
    <t>LIERNI UGARTEMENDIA</t>
  </si>
  <si>
    <t>41/23</t>
  </si>
  <si>
    <t>NO HACER NADA EN EL PROGRAMA EL DIA QUE VENGAN</t>
  </si>
  <si>
    <t>MIKEL BASTARRIKA TOLOSA</t>
  </si>
  <si>
    <t>Xabi Muñagorri Larrarte</t>
  </si>
  <si>
    <t>GURUTZE ALDANONDO</t>
  </si>
  <si>
    <t>MIGUEL ANGEL NOAIN GARRALDA</t>
  </si>
  <si>
    <t>IÑAKI LOPETEGUI</t>
  </si>
  <si>
    <t>7/23</t>
  </si>
  <si>
    <t>Danel Irazustabarrena</t>
  </si>
  <si>
    <t>LEIRE MIGUEL</t>
  </si>
  <si>
    <t>Maite Iturralde</t>
  </si>
  <si>
    <t>TXOTX SOLIDARIO</t>
  </si>
  <si>
    <t>MOKOROA</t>
  </si>
  <si>
    <t>8/23</t>
  </si>
  <si>
    <t>Alejandro Valens Gallego</t>
  </si>
  <si>
    <t>PEDRO MARI</t>
  </si>
  <si>
    <t>9/23</t>
  </si>
  <si>
    <t>Cortajarena</t>
  </si>
  <si>
    <t>MAIALEN ETA MIKEL</t>
  </si>
  <si>
    <t>MARIA JESUS KORTAJARENA</t>
  </si>
  <si>
    <t>10/23</t>
  </si>
  <si>
    <t>Miriam Huarriz Gurpide</t>
  </si>
  <si>
    <t>ALEXANDRA MARTINEZ ZAPATA</t>
  </si>
  <si>
    <t>AIMAR</t>
  </si>
  <si>
    <t>11/23</t>
  </si>
  <si>
    <t>DAVID ZUÑEDA LOMA-OSORIO</t>
  </si>
  <si>
    <t>LANKIDEAK</t>
  </si>
  <si>
    <t>IRATI ETA MIKEL</t>
  </si>
  <si>
    <t>12/23</t>
  </si>
  <si>
    <t>Pedro Manuel Gallego Perez</t>
  </si>
  <si>
    <t>SUS SUEGROS</t>
  </si>
  <si>
    <t>IRANZU</t>
  </si>
  <si>
    <t>13/23</t>
  </si>
  <si>
    <t>PAULA SATRUSTEGUI</t>
  </si>
  <si>
    <t>SAIOA</t>
  </si>
  <si>
    <t>SUS PADRES</t>
  </si>
  <si>
    <t>14/23</t>
  </si>
  <si>
    <t>Goikoetxea Altuna</t>
  </si>
  <si>
    <t>BERAZUBIKO GASTRONOMIKA</t>
  </si>
  <si>
    <t>NO TIENEN QUE ABONAR</t>
  </si>
  <si>
    <t>Ander Imaz Alcorta</t>
  </si>
  <si>
    <t>Maite Aizpurua Galdona</t>
  </si>
  <si>
    <t>15/23</t>
  </si>
  <si>
    <t>Aloña Muñoz Merino</t>
  </si>
  <si>
    <t>MARI CRUZ BERISTAIN INTXAUSTEGI</t>
  </si>
  <si>
    <t>IÑAKI</t>
  </si>
  <si>
    <t>Asier Dorai</t>
  </si>
  <si>
    <t>16/23</t>
  </si>
  <si>
    <t>NEREA GOENAGA</t>
  </si>
  <si>
    <t xml:space="preserve"> MANUEL MARTINEZ</t>
  </si>
  <si>
    <t>EGOITZ RIVERA GARMENDIA</t>
  </si>
  <si>
    <t>Nagore Balenciaga</t>
  </si>
  <si>
    <t>ITXASO RIVERA GARMENDIA (ARREBA)</t>
  </si>
  <si>
    <t>17/23</t>
  </si>
  <si>
    <t>XAVIER ARGILES FIGUEROLA</t>
  </si>
  <si>
    <t>ELIANA MORENO</t>
  </si>
  <si>
    <t>Maddi Lillo</t>
  </si>
  <si>
    <t>JONATHAN</t>
  </si>
  <si>
    <t>18/23</t>
  </si>
  <si>
    <t>GORKA OTAEGUI URIYA</t>
  </si>
  <si>
    <t>NEKANE SAROBE</t>
  </si>
  <si>
    <t>ANE ETA JON</t>
  </si>
  <si>
    <t>IÑAKI AGIRRETXE OTAÑO</t>
  </si>
  <si>
    <t>19/23</t>
  </si>
  <si>
    <t>Ruben Crespo Perez</t>
  </si>
  <si>
    <t>JOSE MANUEL GARRO</t>
  </si>
  <si>
    <t>XABIER ETXEBERRIA</t>
  </si>
  <si>
    <t>AMAIA ANUZITA GALLENT</t>
  </si>
  <si>
    <t>20/23</t>
  </si>
  <si>
    <t>Mikel Luzuriaga Iurramendi</t>
  </si>
  <si>
    <t>21/23</t>
  </si>
  <si>
    <t>JEAN MICHEL LANDART</t>
  </si>
  <si>
    <t>IURRAMENDIKO BIZILAGUN ELKARTEA</t>
  </si>
  <si>
    <t>Cecilia Cuéllar Vásquez</t>
  </si>
  <si>
    <t>SORTEO</t>
  </si>
  <si>
    <t>22/23</t>
  </si>
  <si>
    <t>PAGADO 160€ (ORDEN DE XABI)</t>
  </si>
  <si>
    <t>LARRAITZ AGUIRRE LASA</t>
  </si>
  <si>
    <t>IKER CMO</t>
  </si>
  <si>
    <t>REGALO</t>
  </si>
  <si>
    <t>23/23</t>
  </si>
  <si>
    <t>Danel Teran Fernandez</t>
  </si>
  <si>
    <t>SIN PAGAR Y SIN CREAR OPARI TXART</t>
  </si>
  <si>
    <t>LIDE LOPEZ ALBISU</t>
  </si>
  <si>
    <t>24/23</t>
  </si>
  <si>
    <t>Pasara a pagar la cantidad total de lo que consuman</t>
  </si>
  <si>
    <t>Ander Ansoategi Oruna</t>
  </si>
  <si>
    <t>IBON BARBERIA</t>
  </si>
  <si>
    <t>MAITE ÁLVAREZ</t>
  </si>
  <si>
    <t>James Barry</t>
  </si>
  <si>
    <t>JESUS ALONSO</t>
  </si>
  <si>
    <t>25/23</t>
  </si>
  <si>
    <t>Son 3 personas, si hubiera diferencia la pagaría Maite</t>
  </si>
  <si>
    <t>AMAIA ETXEBESTE ARIN</t>
  </si>
  <si>
    <t>Gurutze Ortega lazkano</t>
  </si>
  <si>
    <t>VOLEY TOLOSA</t>
  </si>
  <si>
    <t>INVITACION CASA JULIAN</t>
  </si>
  <si>
    <t>26/23</t>
  </si>
  <si>
    <t>No está creada, simplemente invitación el día qvengan</t>
  </si>
  <si>
    <t>Unai Mintegui del Olmo</t>
  </si>
  <si>
    <t>IÑAKI OREJA</t>
  </si>
  <si>
    <t>HARITZ OTAEGI</t>
  </si>
  <si>
    <t>JON URTEAGA</t>
  </si>
  <si>
    <t>27/23</t>
  </si>
  <si>
    <t>Leire Unanue Ibarra</t>
  </si>
  <si>
    <t>EGOITZ DE LA CANAL</t>
  </si>
  <si>
    <t>28/23</t>
  </si>
  <si>
    <t>Unai ETxebarria Gonzalez</t>
  </si>
  <si>
    <t>FRANCISCO MAURI AURELL</t>
  </si>
  <si>
    <t>PATXI MONJE</t>
  </si>
  <si>
    <t>29/23</t>
  </si>
  <si>
    <t>Karmele Zubillaga</t>
  </si>
  <si>
    <t>JONE GARMENDIA</t>
  </si>
  <si>
    <t>IKER GARMENDIA</t>
  </si>
  <si>
    <t>30/23</t>
  </si>
  <si>
    <t>MARIA INTXAUSTI GANDARIAS</t>
  </si>
  <si>
    <t>Mirian Fuster</t>
  </si>
  <si>
    <t>JULEN PANADERO</t>
  </si>
  <si>
    <t>GURASOAK</t>
  </si>
  <si>
    <t>31/23</t>
  </si>
  <si>
    <t>€COBRAR 180</t>
  </si>
  <si>
    <t>Maite Saenz</t>
  </si>
  <si>
    <t>ASOCIACION CONTRA EL CANCER</t>
  </si>
  <si>
    <t>32/23</t>
  </si>
  <si>
    <t>NO COBRAR</t>
  </si>
  <si>
    <t>ASMAA</t>
  </si>
  <si>
    <t>Unai Gallastegui</t>
  </si>
  <si>
    <t>33/23</t>
  </si>
  <si>
    <t>DIANA CARRASCO GONZALEZ</t>
  </si>
  <si>
    <t>BODAS DE PLATA</t>
  </si>
  <si>
    <t>34/23</t>
  </si>
  <si>
    <t>Leire Argote Fernandez</t>
  </si>
  <si>
    <t>IDOIA</t>
  </si>
  <si>
    <t>MIREN ZUBELDIA</t>
  </si>
  <si>
    <t>35/23</t>
  </si>
  <si>
    <t>Maximo Garcia Moreno</t>
  </si>
  <si>
    <t>AYUNTAMIENTO DE TOLOSA</t>
  </si>
  <si>
    <t>36/23</t>
  </si>
  <si>
    <t>Esan zaio nahiz eta kadukatuta egon onartuko dela</t>
  </si>
  <si>
    <t>JOKIN AGIRRETXE OTAÑO</t>
  </si>
  <si>
    <t xml:space="preserve">Lander Segurola </t>
  </si>
  <si>
    <t>JONE PURAS</t>
  </si>
  <si>
    <t>DAVID CALDERON</t>
  </si>
  <si>
    <t>37/23</t>
  </si>
  <si>
    <t>AINHOA URTEAGA</t>
  </si>
  <si>
    <t>38/23</t>
  </si>
  <si>
    <t>Danel Intxaurrondo Gonzalez</t>
  </si>
  <si>
    <t>LEYRE SILVA AYERREGARAY</t>
  </si>
  <si>
    <t>ASIER (POLOAK)</t>
  </si>
  <si>
    <t>SASKIEN ZOZEKTA</t>
  </si>
  <si>
    <t>39/23</t>
  </si>
  <si>
    <t>Ramon Amoros</t>
  </si>
  <si>
    <t>40/23</t>
  </si>
  <si>
    <t>PASARÁ A PAGAR EL 04/12/23</t>
  </si>
  <si>
    <t>CARVALHO YOHARI</t>
  </si>
  <si>
    <t>Arola Urdangarin</t>
  </si>
  <si>
    <t>ASOCIACION EREITE</t>
  </si>
  <si>
    <t>42/23</t>
  </si>
  <si>
    <t>(NO HACE FALTA CREAR OT) INVITACION</t>
  </si>
  <si>
    <t>MAIDER BENGOETXEA</t>
  </si>
  <si>
    <t>LAGUNAK</t>
  </si>
  <si>
    <t>43/23</t>
  </si>
  <si>
    <t>44/23</t>
  </si>
  <si>
    <t>ASIER HUBILLOS</t>
  </si>
  <si>
    <t>NAROA HUBILLOS</t>
  </si>
  <si>
    <t>45/23</t>
  </si>
  <si>
    <t>Maialen Zubeldia</t>
  </si>
  <si>
    <t>IÑAKI PAKEA</t>
  </si>
  <si>
    <t>46/23</t>
  </si>
  <si>
    <t>NAIARA URKIZU LASARTE</t>
  </si>
  <si>
    <t>47/23</t>
  </si>
  <si>
    <t>MARIA LAIZ AMUNDARAIN</t>
  </si>
  <si>
    <t>48/23</t>
  </si>
  <si>
    <t>JUANRA</t>
  </si>
  <si>
    <t>AIMAR ETA ELENA</t>
  </si>
  <si>
    <t>49/23</t>
  </si>
  <si>
    <t>ALEJANDRO PASTOR GUTIERREZ</t>
  </si>
  <si>
    <t>IKER ARRIETA</t>
  </si>
  <si>
    <t>50/23</t>
  </si>
  <si>
    <t>KARI ALBERDI ETXABE</t>
  </si>
  <si>
    <t>AITOR AGUIRRETXE</t>
  </si>
  <si>
    <t>IZEBA/OSABA</t>
  </si>
  <si>
    <t>51/23</t>
  </si>
  <si>
    <t xml:space="preserve">Son 2 OTs para 4 personas. </t>
  </si>
  <si>
    <t>ROGELIO PEDROSO</t>
  </si>
  <si>
    <t>52/23</t>
  </si>
  <si>
    <t>Beñat Ucin Zubeldia</t>
  </si>
  <si>
    <t>UNAI ZUBELDIA</t>
  </si>
  <si>
    <t>FAMILIANTZAKO</t>
  </si>
  <si>
    <t>53/24</t>
  </si>
  <si>
    <t>IKER ASEGUINOLAZA AGUIRRECHE</t>
  </si>
  <si>
    <t>Está creada en revo como 0005324</t>
  </si>
  <si>
    <t>RICARDO UBERETAGOENA</t>
  </si>
  <si>
    <t>SEMEANTZAKO (LEIRE)</t>
  </si>
  <si>
    <t>54/24</t>
  </si>
  <si>
    <t>JON BARBERO ALONSO</t>
  </si>
  <si>
    <t>XABIER GOYA</t>
  </si>
  <si>
    <t>IÑIGO GOYA</t>
  </si>
  <si>
    <t>55/24</t>
  </si>
  <si>
    <t>Xabier Aranzeta</t>
  </si>
  <si>
    <t>RUBEN ETXEBERRIA</t>
  </si>
  <si>
    <t>XABI PEREZ</t>
  </si>
  <si>
    <t>56/24</t>
  </si>
  <si>
    <t>YUAN MARTINEZ PAREJA</t>
  </si>
  <si>
    <t>ZOZKETA SAIOA</t>
  </si>
  <si>
    <t>57/24</t>
  </si>
  <si>
    <t>Son dos opari txartelas para 4 personas. La 57/24 y la 58/24 van juntas.</t>
  </si>
  <si>
    <t>Paola Riesco</t>
  </si>
  <si>
    <t>58/24</t>
  </si>
  <si>
    <t>59/24</t>
  </si>
  <si>
    <t>No se ha creado en revo, ni está pagada</t>
  </si>
  <si>
    <t xml:space="preserve"> M.LUISA ORUETA BIAIN</t>
  </si>
  <si>
    <t>Julia Andoño</t>
  </si>
  <si>
    <t>MAIDER MUÑAGORRI</t>
  </si>
  <si>
    <t>ANDER MUÑAGORRI</t>
  </si>
  <si>
    <t>60/24</t>
  </si>
  <si>
    <t>IRENE ZARAIN</t>
  </si>
  <si>
    <t>HASIER OLEA</t>
  </si>
  <si>
    <t>IOANA BADILLO</t>
  </si>
  <si>
    <t>61/24</t>
  </si>
  <si>
    <t>Asier Arriaga Galdos</t>
  </si>
  <si>
    <t>AROLA URDANGARIN FERREIRA</t>
  </si>
  <si>
    <t>MARTIN SEIJO</t>
  </si>
  <si>
    <t>MANUEL SEIJO</t>
  </si>
  <si>
    <t>62/24</t>
  </si>
  <si>
    <t>En su tarjeta regalo pone 61/24 --&gt; ESTÁ MAL!!! ES 62</t>
  </si>
  <si>
    <t>IRENE ETXEBERRIA</t>
  </si>
  <si>
    <t>Jone Juaristi</t>
  </si>
  <si>
    <t>AITOR GIMENEZ</t>
  </si>
  <si>
    <t>IBAI SARASIBAR</t>
  </si>
  <si>
    <t>JOSUNE</t>
  </si>
  <si>
    <t>63/24</t>
  </si>
  <si>
    <t>SON TRES, LA OPARI FUNCIONA COMO DESCUENTO LA DIFERENCIA LA PAGARÁN MÁS ADELANTE</t>
  </si>
  <si>
    <t>SOFIA FERNANDEZ MENENDEZ</t>
  </si>
  <si>
    <t>IKER SAGASTUME</t>
  </si>
  <si>
    <t>OLATZ LEIZA ZEBERIO</t>
  </si>
  <si>
    <t>KOLDO ETA INGE</t>
  </si>
  <si>
    <t>64/24</t>
  </si>
  <si>
    <t>Iñigo MARTINEZ ONANDIA</t>
  </si>
  <si>
    <t>ASIER BARROSO URRETEGUI</t>
  </si>
  <si>
    <t>Joana Lacunza Santos</t>
  </si>
  <si>
    <t>ARANTXA ARIZNABARRETA OIARTZABAL</t>
  </si>
  <si>
    <t>LORETO ALCIBAR</t>
  </si>
  <si>
    <t>Ainhara Echeverria Telleria</t>
  </si>
  <si>
    <t>IKER OTEGUI BEROZ</t>
  </si>
  <si>
    <t>RAFA GORROTXATEGI</t>
  </si>
  <si>
    <t>Aitziber Aitziber</t>
  </si>
  <si>
    <t xml:space="preserve">COMPROMISO </t>
  </si>
  <si>
    <t>65/24</t>
  </si>
  <si>
    <t>PASARA A RECOGER</t>
  </si>
  <si>
    <t>CRISTINA GONZALEZ</t>
  </si>
  <si>
    <t>66/24</t>
  </si>
  <si>
    <t>OMAR TEJADO</t>
  </si>
  <si>
    <t>Juan Navarro</t>
  </si>
  <si>
    <t>IKER BANKOA</t>
  </si>
  <si>
    <t>AMIGO XABI</t>
  </si>
  <si>
    <t>*24</t>
  </si>
  <si>
    <t>PAGARA CUANDO VAYA A COMER</t>
  </si>
  <si>
    <t>ESTIBALIZ PAGOLA VARELA</t>
  </si>
  <si>
    <t>Amaia Azkarate Bergara</t>
  </si>
  <si>
    <t>GASTRONOMIKA BERAZUBI</t>
  </si>
  <si>
    <t>67/24</t>
  </si>
  <si>
    <t>*XABI (NO PAGAN)</t>
  </si>
  <si>
    <t>PILI LASARTE</t>
  </si>
  <si>
    <t>OLGA POBES CACHON</t>
  </si>
  <si>
    <t>68/24</t>
  </si>
  <si>
    <t xml:space="preserve">Mikel Arbulu Bergera </t>
  </si>
  <si>
    <t>HERNANDORENA IRAIZOZ</t>
  </si>
  <si>
    <t>JUANA ETA VICENTE</t>
  </si>
  <si>
    <t>69/24</t>
  </si>
  <si>
    <t>HIRUNE PEREZ DE VILLAREAL</t>
  </si>
  <si>
    <t>PAKI ALTUNA ZINKUNEGI</t>
  </si>
  <si>
    <t>ANE ALTUNA</t>
  </si>
  <si>
    <t>70/24</t>
  </si>
  <si>
    <t>aritz aguirre</t>
  </si>
  <si>
    <t>NOBLE</t>
  </si>
  <si>
    <t>BENE</t>
  </si>
  <si>
    <t>71/24</t>
  </si>
  <si>
    <t>ES PARA 3</t>
  </si>
  <si>
    <t>IGNAZIO OTAÑO</t>
  </si>
  <si>
    <t>72/24</t>
  </si>
  <si>
    <t>Elene Murua Urkiola</t>
  </si>
  <si>
    <t>MARIA EUGENIA MARTINEZ</t>
  </si>
  <si>
    <t>73/24</t>
  </si>
  <si>
    <t>MAITE JIMENEZ</t>
  </si>
  <si>
    <t>74/24</t>
  </si>
  <si>
    <t>Aritz Irigoyen Fresneda</t>
  </si>
  <si>
    <t>(SI SE EXCEDEN LLAMAR Y PAGARA DIFERNCIA)</t>
  </si>
  <si>
    <t>75/24</t>
  </si>
  <si>
    <t xml:space="preserve">MARITXU </t>
  </si>
  <si>
    <t>OSKAR ARTOLA JUAMBELZ</t>
  </si>
  <si>
    <t>76/24</t>
  </si>
  <si>
    <t>Miriam Albizuri Eizmendi</t>
  </si>
  <si>
    <t>JOSEBA ALONSO</t>
  </si>
  <si>
    <t>77/24</t>
  </si>
  <si>
    <t>LIBRE</t>
  </si>
  <si>
    <t>CUANDO VENGAN DECIDEN EL MENÚ ELLOS Y PAGA JOSEBA ALONSO</t>
  </si>
  <si>
    <t>ANDREA GARRIDO FERNANDEZ</t>
  </si>
  <si>
    <t>Arantzazu Arrospide Elgarresta</t>
  </si>
  <si>
    <t>IDOIA GOÑI</t>
  </si>
  <si>
    <t>OIER LAIZABAL ETA ALEX IZAGIRRE</t>
  </si>
  <si>
    <t>78/24</t>
  </si>
  <si>
    <t>OIER MADOZ ARIZKORRETA</t>
  </si>
  <si>
    <t>MARIA MONTILLA</t>
  </si>
  <si>
    <t>AMIGOS</t>
  </si>
  <si>
    <t>79/24</t>
  </si>
  <si>
    <t>JAUME BORDAS GELABERT</t>
  </si>
  <si>
    <t>IKER LACUNZA</t>
  </si>
  <si>
    <t>MARINA ETA BEÑAT</t>
  </si>
  <si>
    <t>80/24</t>
  </si>
  <si>
    <t>Han avisado que vendrán en septiembre del 2025. CÓDIGO 0008024</t>
  </si>
  <si>
    <t xml:space="preserve">Ricardo Soares </t>
  </si>
  <si>
    <t>ENEKO IZETA ANZA</t>
  </si>
  <si>
    <t>EGOITZ ETA NAIARA</t>
  </si>
  <si>
    <t>81/24</t>
  </si>
  <si>
    <t>ARMINTZ GORROTXATEGI</t>
  </si>
  <si>
    <t>82/24</t>
  </si>
  <si>
    <t>Tatiana Naranjo Lecuona</t>
  </si>
  <si>
    <t>BEÑAT ALTUNA FIGUEROA</t>
  </si>
  <si>
    <t>Iker Jerez</t>
  </si>
  <si>
    <t>Xabier Mollua eta Ainhoa</t>
  </si>
  <si>
    <t>83/24</t>
  </si>
  <si>
    <t>ANE ODRIA BASTARRICA</t>
  </si>
  <si>
    <t>GORKA Y SILVIA</t>
  </si>
  <si>
    <t>84/24</t>
  </si>
  <si>
    <t>Poppy Harris</t>
  </si>
  <si>
    <t>IRENE LASA CASTILLO</t>
  </si>
  <si>
    <t>PATXI ESPINOSA</t>
  </si>
  <si>
    <t>NAIARA</t>
  </si>
  <si>
    <t>85/24</t>
  </si>
  <si>
    <t>MAITANE ARCOS</t>
  </si>
  <si>
    <t>EUSKAL HERRIA KIROLA ZOZKETA (Kike Zurutuza)</t>
  </si>
  <si>
    <t>86/24</t>
  </si>
  <si>
    <t>kike@ehkirola.eus</t>
  </si>
  <si>
    <t>Sofía García-Miñaur</t>
  </si>
  <si>
    <t>ERLANTZ OTAMENDI</t>
  </si>
  <si>
    <t>MAIDER AROCENA</t>
  </si>
  <si>
    <t>87/24</t>
  </si>
  <si>
    <t>JOSEBA UGARTEMENDIA / ASIER</t>
  </si>
  <si>
    <t>689141834, 616282574</t>
  </si>
  <si>
    <t>MIKEL ZABALATE IRIARTE</t>
  </si>
  <si>
    <t>AMAIA UGARTEMENDIA</t>
  </si>
  <si>
    <t>88/24</t>
  </si>
  <si>
    <t>Anartz Iturbe Eizagirre</t>
  </si>
  <si>
    <t>JON ALONSO VICENTE</t>
  </si>
  <si>
    <t>VOLLEY | Haritz Arruti</t>
  </si>
  <si>
    <t>89/24</t>
  </si>
  <si>
    <t>SORTU GABE / haritzarruti@me.com</t>
  </si>
  <si>
    <t>ASIER PEREDA BENITO</t>
  </si>
  <si>
    <t>FRODO | FUTBOL SALA</t>
  </si>
  <si>
    <t>90/24</t>
  </si>
  <si>
    <t>SORTU GABE</t>
  </si>
  <si>
    <t>Roberto Mayo</t>
  </si>
  <si>
    <t>ASIER IRAZU LOPEZ</t>
  </si>
  <si>
    <t>Felix</t>
  </si>
  <si>
    <t>91/24</t>
  </si>
  <si>
    <t>JUAN LUIS ZUOAZOLA</t>
  </si>
  <si>
    <t>Lacey Brown</t>
  </si>
  <si>
    <t>Eneritz Urkola</t>
  </si>
  <si>
    <t>92/24</t>
  </si>
  <si>
    <t>JUAN LUIS ZUOAZOLA)</t>
  </si>
  <si>
    <t>Ibai</t>
  </si>
  <si>
    <t>EDUARDO ESPARZA</t>
  </si>
  <si>
    <t>Juanan eta Magali</t>
  </si>
  <si>
    <t>93/24</t>
  </si>
  <si>
    <t>MIKEL SAGARZAZU IBARGUREN</t>
  </si>
  <si>
    <t>Joseba Gabarain</t>
  </si>
  <si>
    <t>94/24</t>
  </si>
  <si>
    <t>Nahia Caamaño Cabezas</t>
  </si>
  <si>
    <t>AMAIA IRADI SARASOLA</t>
  </si>
  <si>
    <t>95/24</t>
  </si>
  <si>
    <t>Sabe que está caducada, pero se le ha dicho que se le dará igual, AUNQUE COMO DESCUENTO, NO HACER MENÚ</t>
  </si>
  <si>
    <t>Asociación contra el cáncer</t>
  </si>
  <si>
    <t>96/24</t>
  </si>
  <si>
    <t>LANDER IRASTORZA INTXAUSTI</t>
  </si>
  <si>
    <t>Jaione Abaigar</t>
  </si>
  <si>
    <t>BAKARNE ARANZABAL LASA</t>
  </si>
  <si>
    <t>639 455 109</t>
  </si>
  <si>
    <t>97/24</t>
  </si>
  <si>
    <t>SANCHO VELASCO SANZ</t>
  </si>
  <si>
    <t>IBON ESKUDERO</t>
  </si>
  <si>
    <t>NEREA VALLEJO</t>
  </si>
  <si>
    <t>XABI MATEOS</t>
  </si>
  <si>
    <t>Olatz Sarasola</t>
  </si>
  <si>
    <t>98/24</t>
  </si>
  <si>
    <t>Se ha entregado la OT pero es solo para que tengan algo que regalar. No se ha pagado nada, pagarán aquí.</t>
  </si>
  <si>
    <t>NEREA ASPIAZU</t>
  </si>
  <si>
    <t>JULIA (ORIXE)</t>
  </si>
  <si>
    <t>Sorteo ORIXE</t>
  </si>
  <si>
    <t>99/24</t>
  </si>
  <si>
    <t>LEIRE ALDALUR</t>
  </si>
  <si>
    <t>IZARO</t>
  </si>
  <si>
    <t>NO VAN CON MENÚ. HARÁN A LA CARTA. LA COMPRÓ IZARO LA EX TRABAJADORA.</t>
  </si>
  <si>
    <t>Mikel Mendizabal</t>
  </si>
  <si>
    <t>100/24</t>
  </si>
  <si>
    <t>ANDREA GONZALEZ VIDAL</t>
  </si>
  <si>
    <t>Itziar Martínez Soria</t>
  </si>
  <si>
    <t>Vienen en Julio, se aplicara como descuento en la cuenta</t>
  </si>
  <si>
    <t>Victor Campos</t>
  </si>
  <si>
    <t>101/24</t>
  </si>
  <si>
    <t>Imarsoroa@hotmail.com</t>
  </si>
  <si>
    <t>AINTZANE UGALDE AZCUE</t>
  </si>
  <si>
    <t>Bárbara Crespo</t>
  </si>
  <si>
    <t>1/25</t>
  </si>
  <si>
    <t>RUBEN GALOCHA LEON</t>
  </si>
  <si>
    <t>Joxean Zelaia Ezenarro</t>
  </si>
  <si>
    <t>2/25</t>
  </si>
  <si>
    <t>3/25</t>
  </si>
  <si>
    <t>JOANA LOYARTE</t>
  </si>
  <si>
    <t>NO SE COBR</t>
  </si>
  <si>
    <t>ZESTA PUNTA</t>
  </si>
  <si>
    <t>4/25</t>
  </si>
  <si>
    <t>beotibarzestapunta@gmail.com</t>
  </si>
  <si>
    <t xml:space="preserve">Iñaki Martinez Ibañez </t>
  </si>
  <si>
    <t>AITOR LASKURAIN</t>
  </si>
  <si>
    <t>LEIRE MENDIAGAIN NOGALES</t>
  </si>
  <si>
    <t>5/25</t>
  </si>
  <si>
    <t>MARIO JASO</t>
  </si>
  <si>
    <t>LEIRE ALDARAGIA AIZPURU</t>
  </si>
  <si>
    <t>PAULA REMIREZ RUIZ</t>
  </si>
  <si>
    <t>Beñat Agirre Zubillaga</t>
  </si>
  <si>
    <t>ANE BILBAO LETEMENDIA</t>
  </si>
  <si>
    <t>ERIK ITURRBE</t>
  </si>
  <si>
    <t>6/25</t>
  </si>
  <si>
    <t>MADDI ETXEBERRIA MENDIGUREN</t>
  </si>
  <si>
    <t>ALBA GARCIA DEL COZ</t>
  </si>
  <si>
    <t>JOSEBA GARCIA BEROIZ</t>
  </si>
  <si>
    <t>JOKIN OSTABRI IGELTXERO</t>
  </si>
  <si>
    <t>7/25</t>
  </si>
  <si>
    <t>?</t>
  </si>
  <si>
    <t>SIN MENÚ,. OT SIN CREAR. ESTÁ SIN PAGAR. PAGARÁ JOKIN. ENVIAR FRA A ARANTXA 648212019.</t>
  </si>
  <si>
    <t>sin pagar</t>
  </si>
  <si>
    <t>MARCAL MIANA LOPEZ</t>
  </si>
  <si>
    <t>IXONE OTAMENDI</t>
  </si>
  <si>
    <t>8/25</t>
  </si>
  <si>
    <t>Janire Oiarbide Saez</t>
  </si>
  <si>
    <t>CÓDIGO 000825</t>
  </si>
  <si>
    <t>NEREA ALVARIÑO MAÑES</t>
  </si>
  <si>
    <t>JUAN JOSÉ ESQUISAVEL</t>
  </si>
  <si>
    <t>9/25</t>
  </si>
  <si>
    <t>Teresa Rodero Iglesias</t>
  </si>
  <si>
    <t>JOSEBA ZUBELDIA</t>
  </si>
  <si>
    <t>Agustin</t>
  </si>
  <si>
    <t>10/25</t>
  </si>
  <si>
    <t>NO PAGAN</t>
  </si>
  <si>
    <t>MONICA VAZQUEZ DORRONSORO</t>
  </si>
  <si>
    <t>MARIA LUISA MARCOS</t>
  </si>
  <si>
    <t>11/25</t>
  </si>
  <si>
    <t>Alex Hidalgo Hernandez</t>
  </si>
  <si>
    <t>IMANOL SANCHEZ CORCHERO</t>
  </si>
  <si>
    <t>LIERNI AGIRRE OTEGI</t>
  </si>
  <si>
    <t>TERE LARRARTE SARASOLA</t>
  </si>
  <si>
    <t>Paula Castaño García</t>
  </si>
  <si>
    <t>12/25</t>
  </si>
  <si>
    <t>RICARDO ARAMBURU GRANADO</t>
  </si>
  <si>
    <t>MAIALEN ARGOTE LIZASO</t>
  </si>
  <si>
    <t>MADDI ATXUKARRO AGIRRE</t>
  </si>
  <si>
    <t>13/25</t>
  </si>
  <si>
    <t>Lucia Balsera</t>
  </si>
  <si>
    <t>JOANNE TANNER</t>
  </si>
  <si>
    <t>ENDIKA ZABALETA</t>
  </si>
  <si>
    <t>14/25</t>
  </si>
  <si>
    <t>0001425</t>
  </si>
  <si>
    <t>LAURA GONZALEZ MORO</t>
  </si>
  <si>
    <t>JAVIER NAVASCUES CORNAGO</t>
  </si>
  <si>
    <t>TOLOSAKO UDALA (feria) Bertako Haragien Azoka</t>
  </si>
  <si>
    <t>15/25</t>
  </si>
  <si>
    <t>PAGA POR TRANSFERENCIA. código 0001525</t>
  </si>
  <si>
    <t>JACINTO ODRIOZOLA</t>
  </si>
  <si>
    <t>16/25</t>
  </si>
  <si>
    <t>Arias</t>
  </si>
  <si>
    <t>SHARON ORTEGA MEDEOS</t>
  </si>
  <si>
    <t>IKER DÍEZ IGLESIAS (CMO)</t>
  </si>
  <si>
    <t>17/25</t>
  </si>
  <si>
    <t>Es para 3 personas. Menú cerrado: 1 Charcutería + 3 Puerros + 3 Espárragos +  1,5 Txuleta + 1 Pimientos  + 2 Ensalada + 3 Flan + Pan + Bebidas (2 botellas 20€ + cafés)</t>
  </si>
  <si>
    <t>EDURNE MARTINEZ DE MORENTIN</t>
  </si>
  <si>
    <t>Jon Gallurralde</t>
  </si>
  <si>
    <t>IKER URKIZU MUJIKA</t>
  </si>
  <si>
    <t>18/25</t>
  </si>
  <si>
    <t>CÓDIGO 0001825</t>
  </si>
  <si>
    <t>MARTIN ERRONDOSORO SORRON</t>
  </si>
  <si>
    <t>19/25</t>
  </si>
  <si>
    <t>García de Cortazar</t>
  </si>
  <si>
    <t>CÓDIGO 0001925</t>
  </si>
  <si>
    <t>AITOR ARGOMANIZ</t>
  </si>
  <si>
    <t>XABIER LASA</t>
  </si>
  <si>
    <t>20/25</t>
  </si>
  <si>
    <t>ARANTXA RODRIGUEZ</t>
  </si>
  <si>
    <t>TXARO FERRERO</t>
  </si>
  <si>
    <t>21/25</t>
  </si>
  <si>
    <t>UNAI ETXEBERRIA GARMENDIA</t>
  </si>
  <si>
    <t>Marta Portela Otero</t>
  </si>
  <si>
    <t>MAITE MENDIZAAL ECEIZA</t>
  </si>
  <si>
    <t>MARIAN</t>
  </si>
  <si>
    <t>22/25</t>
  </si>
  <si>
    <t>ZIGOR LEUNDA</t>
  </si>
  <si>
    <t>Tapia</t>
  </si>
  <si>
    <t>ALBERTO BARRUECO</t>
  </si>
  <si>
    <t>23/25</t>
  </si>
  <si>
    <t>ANA ISABEL TERRAZAS</t>
  </si>
  <si>
    <t>ANDER MANGAS SUESKUN</t>
  </si>
  <si>
    <t>IKER LANCUNZA</t>
  </si>
  <si>
    <t>24/25</t>
  </si>
  <si>
    <t>está creada como 0002425</t>
  </si>
  <si>
    <t>MARTIN SEIJO ORIOL</t>
  </si>
  <si>
    <t>IÑIGO RODRIGUEZ</t>
  </si>
  <si>
    <t>25/25</t>
  </si>
  <si>
    <t>está creada como 0002525</t>
  </si>
  <si>
    <t>26/25</t>
  </si>
  <si>
    <t>creada en revo como 0002625</t>
  </si>
  <si>
    <t>JOSEBA ETXANIZ</t>
  </si>
  <si>
    <t>ASIER ARRIZABALAGA</t>
  </si>
  <si>
    <t>27/25</t>
  </si>
  <si>
    <t>CREADA COMO 0002725</t>
  </si>
  <si>
    <t>Carlos Saiz sagarna</t>
  </si>
  <si>
    <t>LANDER ABARRATEGI</t>
  </si>
  <si>
    <t>ALAZNE</t>
  </si>
  <si>
    <t>JON BURGAÑA</t>
  </si>
  <si>
    <t>VIENE EL 08/08 . MANDAR FACTURA A ALAZNE (688610118)</t>
  </si>
  <si>
    <t>RAMON LOUZAO</t>
  </si>
  <si>
    <t>Oihane Aguinaga</t>
  </si>
  <si>
    <t>OLAIA</t>
  </si>
  <si>
    <t>28/25</t>
  </si>
  <si>
    <t>LAURA HERNANDEZ</t>
  </si>
  <si>
    <t>Creada en revo como 0002825</t>
  </si>
  <si>
    <t>MARTXELI</t>
  </si>
  <si>
    <t>29/25</t>
  </si>
  <si>
    <t>MIKEL ZUBIRI AZQUETA</t>
  </si>
  <si>
    <t>iñigo Arruti Roteta</t>
  </si>
  <si>
    <t>Es para 3. Pagaron primero 220 y luego 110. Está creada como 0002925. No se les ha dichpo cómo ajustaríamos el menú para 3. Una sugerencia de MENU: Trilogía para 3. 6 puerros. 6 espárragos.  Txuleta 1,8kg. Pimientos 1 o 2. 1 Tarta de queso 1. 1 flan. 1 coulant</t>
  </si>
  <si>
    <t>MADDI LILLO</t>
  </si>
  <si>
    <t>30/25</t>
  </si>
  <si>
    <t>OT número 30025</t>
  </si>
  <si>
    <t>JOSEBA</t>
  </si>
  <si>
    <t>Jennifer Moya Vaquero</t>
  </si>
  <si>
    <t>31/25</t>
  </si>
  <si>
    <t>AINHOA URZELAI VICENTE</t>
  </si>
  <si>
    <t>OT NUMERO 30125</t>
  </si>
  <si>
    <t>EDURNE</t>
  </si>
  <si>
    <t>32/25</t>
  </si>
  <si>
    <t>OT NUMERO 30225. VIven fuera, se les ha dicho  que tienen 1 año para usarlo (19/09/2026)</t>
  </si>
  <si>
    <t>Agurne Oronoz</t>
  </si>
  <si>
    <t>Rosario Lasarpetrirena</t>
  </si>
  <si>
    <t>33/25</t>
  </si>
  <si>
    <t>OT NUMERO 30325</t>
  </si>
  <si>
    <t>LUIS PEREZ ACHEGA</t>
  </si>
  <si>
    <t>MIREN AMESTOY ALONSO</t>
  </si>
  <si>
    <t>XABIER NOBLE</t>
  </si>
  <si>
    <t>34/25</t>
  </si>
  <si>
    <t>ARITZ LOIDI YERZA (SAMANIEGO ZOZKETA)</t>
  </si>
  <si>
    <t>MIKEL HERNANDEZ LOS ARCOS</t>
  </si>
  <si>
    <t>0003525</t>
  </si>
  <si>
    <t>PASARÁ A RECOGERLA CUANDO SE PAGUE</t>
  </si>
  <si>
    <t>Naiara Otermin</t>
  </si>
  <si>
    <t>GONTZAL SANTA COLOMA</t>
  </si>
  <si>
    <t>VOLLEY TOLOSA</t>
  </si>
  <si>
    <t>0003625</t>
  </si>
  <si>
    <t>NO PAGA. TIENEN QUE  PASARLA A RECOGER</t>
  </si>
  <si>
    <t>ADUR INSAUSTI</t>
  </si>
  <si>
    <t>CÉCILE ELIÇAGARAY</t>
  </si>
  <si>
    <t>0033658724770</t>
  </si>
  <si>
    <t>FRONTENIS TOLOSA</t>
  </si>
  <si>
    <t>0003725</t>
  </si>
  <si>
    <t>ARANTZAZU DEL POZO RINCON</t>
  </si>
  <si>
    <t>0003825</t>
  </si>
  <si>
    <t>A uno de ellos le hacen mal los pimientos rojos</t>
  </si>
  <si>
    <t>ANODNI SALDIA</t>
  </si>
  <si>
    <t>BEÑAT GAUNA JAUREGUI</t>
  </si>
  <si>
    <t>AS0001</t>
  </si>
  <si>
    <t>TIENE 11 OTS (PAGA EN NEGRO) NO CREAR EN REVO ES EL DE LOS SEGUROS, CUANDO VENGAN CREAR COMANDA Y BORRARLA AL FINAL, NO CERRARLA</t>
  </si>
  <si>
    <t>Mirentxu Barbe Mendibil</t>
  </si>
  <si>
    <t>JON ANDER UNANUA</t>
  </si>
  <si>
    <t>AS0002</t>
  </si>
  <si>
    <t>ADRIAN ALONSO MEIS</t>
  </si>
  <si>
    <t>AS0003</t>
  </si>
  <si>
    <t>LUTXI ELOLA BALERDI</t>
  </si>
  <si>
    <t xml:space="preserve">Txaro Saenz Lazcano </t>
  </si>
  <si>
    <t>JON FLORES</t>
  </si>
  <si>
    <t>AS0004</t>
  </si>
  <si>
    <t>FELIPE BARANDIARAN IRASTORZA</t>
  </si>
  <si>
    <t>AS0005</t>
  </si>
  <si>
    <t>Irune Mendieta</t>
  </si>
  <si>
    <t>AS0006</t>
  </si>
  <si>
    <t>AS0007</t>
  </si>
  <si>
    <t>Vanesa Juanes aguirre</t>
  </si>
  <si>
    <t>AS0008</t>
  </si>
  <si>
    <t>Amaia8 Lasaosa</t>
  </si>
  <si>
    <t>AS0009</t>
  </si>
  <si>
    <t>SI</t>
  </si>
  <si>
    <t>Zuriñe Inzunza Martínez</t>
  </si>
  <si>
    <t>AS0010</t>
  </si>
  <si>
    <t>NOEMI ARISTU</t>
  </si>
  <si>
    <t>AS0011</t>
  </si>
  <si>
    <t>Amane Zumeta Irureta</t>
  </si>
  <si>
    <t>AS0012</t>
  </si>
  <si>
    <t>LIDIA IRIGOIEN</t>
  </si>
  <si>
    <t>HAZI FUNDAZIOA</t>
  </si>
  <si>
    <t>Haizea Ramos</t>
  </si>
  <si>
    <t>HF0001</t>
  </si>
  <si>
    <t>No lo gastarán de golpe, irán consumiendo el saldo poco a poco. Ver hoja Jarraipe orria- Hazi fundazioa para más info. Pagan por transferencia</t>
  </si>
  <si>
    <t>PM0001</t>
  </si>
  <si>
    <t>Olaia Medinilla Ruiz</t>
  </si>
  <si>
    <t>No va con menú. Sin crear en REVO (beltza). Cuando venga, no cerrar comanda, borrar los platos. Se le ha dado una opari con el número 1109 pero esa no es porque finalmente no se creó en SHOPIFY. Se le ha avisado cuál es el código nuevo.</t>
  </si>
  <si>
    <t>MANU VIDAURRETA DIEZ</t>
  </si>
  <si>
    <t>SAIOA ETXEGIA</t>
  </si>
  <si>
    <t>SE0001</t>
  </si>
  <si>
    <t>Ha pagado 200 pero se le hace el menú normal.</t>
  </si>
  <si>
    <t>Imanol GANZARAIN</t>
  </si>
  <si>
    <t>Son 2 opari txartelas, para 2 parejas diferentes. En el archivo que se les ha enviado se diferencian con 1170 (1) y 1170 (2)</t>
  </si>
  <si>
    <t>ARANTXA ERRONDOSOR</t>
  </si>
  <si>
    <t>AMAIA ASTARLOA IRAZUSTA</t>
  </si>
  <si>
    <t>DANIEL CALVO</t>
  </si>
  <si>
    <t>Karen Prieto Pastrian</t>
  </si>
  <si>
    <r>
      <rPr>
        <rFont val="Oswald"/>
        <b/>
        <color rgb="FFFF0000"/>
        <sz val="8.0"/>
      </rPr>
      <t>EXISTEN DOS TARJETAS CON ESTA NUMERACIÓN. COMPROBAR CUÁL ES</t>
    </r>
    <r>
      <rPr>
        <rFont val="Oswald"/>
        <color theme="1"/>
        <sz val="8.0"/>
      </rPr>
      <t xml:space="preserve">. Está creada en REVO como </t>
    </r>
    <r>
      <rPr>
        <rFont val="Oswald"/>
        <b/>
        <color theme="1"/>
        <sz val="8.0"/>
      </rPr>
      <t>00001291</t>
    </r>
    <r>
      <rPr>
        <rFont val="Oswald"/>
        <color theme="1"/>
        <sz val="8.0"/>
      </rPr>
      <t xml:space="preserve">. La creó mal Orlando. Se ha seguido la numeración de Shopify, pero el pedido no entró por ahí. </t>
    </r>
  </si>
  <si>
    <t>IOSEBA ENBEITA</t>
  </si>
  <si>
    <t>GARAZI SARATXO GARCIA</t>
  </si>
  <si>
    <t>XABI GORROTXATEGI</t>
  </si>
  <si>
    <t>XG0001</t>
  </si>
  <si>
    <t>SON 3. NO PAGAN NADA. NO HACEN MENÚ, ELIGEN A LA CARTA. NO CREAR EN REVO, CUANDO VENGAN CREAR COMANDA Y BORRARLA AL FINAL, NO CERRARLA</t>
  </si>
  <si>
    <t>LOURDES RUIZ SASTURAIN</t>
  </si>
  <si>
    <t>SOLO LAS QUE SON INVITACIÓN</t>
  </si>
  <si>
    <t>IÑIGO GARMENDIA OYARBIDE</t>
  </si>
  <si>
    <t>Idoia Fuentes</t>
  </si>
  <si>
    <t>AMELIA MONTSERRAT FERRE</t>
  </si>
  <si>
    <t>ANNA MARTIN CABELLO</t>
  </si>
  <si>
    <t>MARKEL MUÑOYERRO BENGOECHEA</t>
  </si>
  <si>
    <t>Lorenzo Paolo Venier</t>
  </si>
  <si>
    <t>MIKEL ETXEBERRIA</t>
  </si>
  <si>
    <t>DANIEL NUVIALA</t>
  </si>
  <si>
    <t>PAULA LECUONA SANZ</t>
  </si>
  <si>
    <t>SERGIO HERRANZ DEL POZO</t>
  </si>
  <si>
    <t>Mikel Gonzalez</t>
  </si>
  <si>
    <t>ELLIE JAGGS</t>
  </si>
  <si>
    <t>SORKUNDE ETXEBESTE LASA</t>
  </si>
  <si>
    <t>Mireia Rodríguez</t>
  </si>
  <si>
    <t>MARCOS FERRER CARCELLER</t>
  </si>
  <si>
    <t>JOSU IRAOLA TRUCHUELO</t>
  </si>
  <si>
    <t>HIRUNE CRESPILLO</t>
  </si>
  <si>
    <t>Joanes Elosegi</t>
  </si>
  <si>
    <t>DIANA GOROSTIDI</t>
  </si>
  <si>
    <t>Maren Maren</t>
  </si>
  <si>
    <t>BORJA LAZARO DE AGUIRRE</t>
  </si>
  <si>
    <t>ENERITZ ARRIETA ARZALLUZ</t>
  </si>
  <si>
    <t>Simon Backler</t>
  </si>
  <si>
    <t>IÑIGO CALVO ARCHANCO</t>
  </si>
  <si>
    <t>Francisco Javier Lareo Pena</t>
  </si>
  <si>
    <t>JORDI VIOLAN SAPERAS</t>
  </si>
  <si>
    <t>Hernández Manzano</t>
  </si>
  <si>
    <t>LEIRE ECEIZA RAMOS</t>
  </si>
  <si>
    <t>LAURA NICOLAS BARRENA</t>
  </si>
  <si>
    <t xml:space="preserve">Alona Konarieva </t>
  </si>
  <si>
    <t>MARTIN ECHEVARRI MADRIGAL</t>
  </si>
  <si>
    <t>ANDER ARTOLA CALVO</t>
  </si>
  <si>
    <t>UNAI ALCIBAR DE LA CRUZ</t>
  </si>
  <si>
    <r>
      <rPr>
        <rFont val="Oswald"/>
        <color theme="1"/>
        <sz val="8.0"/>
      </rPr>
      <t xml:space="preserve">Son 2 opari txartelas, para 2 parejas diferentes. En el archivo que se les ha enviado se diferencian con 1184 (1) y 1184 (2). </t>
    </r>
    <r>
      <rPr>
        <rFont val="Oswald"/>
        <b/>
        <color theme="1"/>
        <sz val="8.0"/>
      </rPr>
      <t>Ya han utilizado las 2</t>
    </r>
  </si>
  <si>
    <t>AITOR ERAUSKIN MENDIZABAL</t>
  </si>
  <si>
    <t>Julietta Tennant</t>
  </si>
  <si>
    <t>LORENA MANZANO UGARTE</t>
  </si>
  <si>
    <t>IKER IPINTZA</t>
  </si>
  <si>
    <t>CLAUDIA SEIJO ORIOL</t>
  </si>
  <si>
    <t>OLAIA UBEDA</t>
  </si>
  <si>
    <t>ANDER AMATRIAIN</t>
  </si>
  <si>
    <t>GARBIÑE MURILLO</t>
  </si>
  <si>
    <t>MIKEL ORTIZ</t>
  </si>
  <si>
    <t>AINHOA IZAGUIRRE</t>
  </si>
  <si>
    <t xml:space="preserve">IBON DORRONSORO </t>
  </si>
  <si>
    <t>M ARANZAZU ARRILLAGA</t>
  </si>
  <si>
    <t>LAURA MAISANAVA OLMOS</t>
  </si>
  <si>
    <t>Nahia Fernandez</t>
  </si>
  <si>
    <t>NICOLAS AGUIRRE LERCHUNDI</t>
  </si>
  <si>
    <t>JON RAMOS GONZALEZ</t>
  </si>
  <si>
    <t>Alejabdi elua</t>
  </si>
  <si>
    <t>Eduardo Otxotorena Zelaieta</t>
  </si>
  <si>
    <t>BORJA GARCÍA LIZARRAGA</t>
  </si>
  <si>
    <t>LOREA SOTO</t>
  </si>
  <si>
    <t>Lide Mendizabal</t>
  </si>
  <si>
    <t>LIAM COWLEY</t>
  </si>
  <si>
    <t>ALOÑA ARZA LASA</t>
  </si>
  <si>
    <t>Tom Walsh</t>
  </si>
  <si>
    <t>ARITZ AGIRRE GARIKANO</t>
  </si>
  <si>
    <t>Jokin Azkonobieta</t>
  </si>
  <si>
    <t>HAIZE LUCAS</t>
  </si>
  <si>
    <t>TABERNERO</t>
  </si>
  <si>
    <t>XUBAN UBEDA  ARRIBILLAGA</t>
  </si>
  <si>
    <t>AITOR AGIRRETXE</t>
  </si>
  <si>
    <t>ANDREA SALABERRIA</t>
  </si>
  <si>
    <t>Arrate Gorrotxategi Lopez</t>
  </si>
  <si>
    <t>OIER MUGICA AROSTEGUI</t>
  </si>
  <si>
    <t>Mikel Lopetegui</t>
  </si>
  <si>
    <t xml:space="preserve">Naiara Zubeldia Alberdi </t>
  </si>
  <si>
    <t>NEREA ZABALA</t>
  </si>
  <si>
    <t>Ion Ander Olivan Lanz</t>
  </si>
  <si>
    <t>ANAKOZ AMENABAR</t>
  </si>
  <si>
    <t>Troitiño</t>
  </si>
  <si>
    <t>ALBERTO GARCIA SAYAR</t>
  </si>
  <si>
    <t>Irantzu Larrañaga</t>
  </si>
  <si>
    <t>LEIRE RUIZ DE EGUILAR</t>
  </si>
  <si>
    <t>Maria Arroyo Zufiaur</t>
  </si>
  <si>
    <t>JAVIER DE LA RIVA</t>
  </si>
  <si>
    <t>Leandro Etxeza</t>
  </si>
  <si>
    <t>KEVIN DEL POZO</t>
  </si>
  <si>
    <t>MIRENE IRAOLA</t>
  </si>
  <si>
    <t>Uxue Pradera Sangroniz</t>
  </si>
  <si>
    <t>JOBA LOPE CORTES</t>
  </si>
  <si>
    <t>PABLO MOGOLLON DIAZ</t>
  </si>
  <si>
    <t>SANDRA MIGUEL MARTIN</t>
  </si>
  <si>
    <t>UNAI IRAETA</t>
  </si>
  <si>
    <t>MARI JOSE PEQUERO</t>
  </si>
  <si>
    <t>CARMEN ITURRIAGAECHEVERRIA</t>
  </si>
  <si>
    <t xml:space="preserve">Bittor Urkizar </t>
  </si>
  <si>
    <t>NAGORE LORA LACA</t>
  </si>
  <si>
    <t>TOMAS ESTEBAN MARTIN</t>
  </si>
  <si>
    <t>Elizabeth Clinton</t>
  </si>
  <si>
    <t>GARAZI ETXANIZ BADIOLA</t>
  </si>
  <si>
    <t>MARTIN UGARTE JAUREGUI</t>
  </si>
  <si>
    <t>Oli Mirador</t>
  </si>
  <si>
    <t>AGOSTINA TEIXIDO RIVEROS</t>
  </si>
  <si>
    <t>AGOSTINA TEIXIDO RIVEEROS</t>
  </si>
  <si>
    <t>Paola Oliva</t>
  </si>
  <si>
    <t>MARIA ETXEBERRIA BENGOETXEA</t>
  </si>
  <si>
    <t>IRATI MALKORRA</t>
  </si>
  <si>
    <t>RECOGEN AQUI</t>
  </si>
  <si>
    <t>YAIZA VEGA GUTIERREZ</t>
  </si>
  <si>
    <t>MAITE MENDIZABAL ECEIZA</t>
  </si>
  <si>
    <t>CADUCADA PERO OK</t>
  </si>
  <si>
    <t>MAITANE DE CARBALLO</t>
  </si>
  <si>
    <t>Pendiente llamarse fueron en ambulancia</t>
  </si>
  <si>
    <t>Carlos Iguarán</t>
  </si>
  <si>
    <t>KATHERINE BIRD</t>
  </si>
  <si>
    <t>EXTRANJERO</t>
  </si>
  <si>
    <t>ARITZ MUJIKA SAIZAR</t>
  </si>
  <si>
    <t>Jessica Rozaner</t>
  </si>
  <si>
    <t>EGOITZ URBIETA  AGUIRRE</t>
  </si>
  <si>
    <t>AINITZE KORTA</t>
  </si>
  <si>
    <t>Igor Torres Castilla</t>
  </si>
  <si>
    <t>IRAIA PRIETO</t>
  </si>
  <si>
    <t>LEIRE UGALDE URIARTE</t>
  </si>
  <si>
    <t>Maite Casimiro</t>
  </si>
  <si>
    <t>ADRIAN ALONSO</t>
  </si>
  <si>
    <t>MAIALEN IZAGUIRRE GARCIA</t>
  </si>
  <si>
    <t>Guided Spain Tours SLU</t>
  </si>
  <si>
    <t>YUAN ALEXANDRA MARTINEZ</t>
  </si>
  <si>
    <t>Es una opari para 4</t>
  </si>
  <si>
    <t>ANE DELGADO</t>
  </si>
  <si>
    <t>Jose Luna Garcia</t>
  </si>
  <si>
    <t>AINHOA SANGRONIZ ARRIETA</t>
  </si>
  <si>
    <t>JAIME SANZA OLAIZOLA</t>
  </si>
  <si>
    <t>Jon Dorronsoro Aizpurua</t>
  </si>
  <si>
    <t>LEIRE ROJAS RODRIGUEZ</t>
  </si>
  <si>
    <t>12c</t>
  </si>
  <si>
    <t>DOLORES SERRANO NAVIDAD</t>
  </si>
  <si>
    <t>Ander Irigoras</t>
  </si>
  <si>
    <t>PALOMA BENITEZ</t>
  </si>
  <si>
    <t>XEBER IRURETAGOIENA</t>
  </si>
  <si>
    <t>Aranzazu Aristondo</t>
  </si>
  <si>
    <t>ANDRES DELGADO</t>
  </si>
  <si>
    <t>ANE ZURUTUZA IBARGUREN</t>
  </si>
  <si>
    <t>NAROA GOMEZ</t>
  </si>
  <si>
    <t>Flavio Banterla Borzaga</t>
  </si>
  <si>
    <t>Marta Usabiaga</t>
  </si>
  <si>
    <t>Maider Moreiro Olondris</t>
  </si>
  <si>
    <t>Beñat Alkorta</t>
  </si>
  <si>
    <t>Jokin Atxaga Txintxurreta</t>
  </si>
  <si>
    <t>Joseba Orodea Arrue</t>
  </si>
  <si>
    <t>Ellie Nicholson</t>
  </si>
  <si>
    <t>Martin Sanz Sebastian</t>
  </si>
  <si>
    <t>Txaber Bilbao</t>
  </si>
  <si>
    <t>Maddi Iriondo Gorostidi</t>
  </si>
  <si>
    <t>Edurne Eskisabel</t>
  </si>
  <si>
    <t>ricardo aramburu granado</t>
  </si>
  <si>
    <t>Andrea Vigo Cueva</t>
  </si>
  <si>
    <t>Maite Goyeneche</t>
  </si>
  <si>
    <t>David Louzao</t>
  </si>
  <si>
    <t>AMAIA UGARTEMENDIA ZUMETA</t>
  </si>
  <si>
    <t>Anne Recalde Cuadrado</t>
  </si>
  <si>
    <t>JAVIER R ANGULO</t>
  </si>
  <si>
    <t>Miriam Prieto Alameda</t>
  </si>
  <si>
    <t>Joseba Korkostegi</t>
  </si>
  <si>
    <t>Ibai Etxabe Aizpurua</t>
  </si>
  <si>
    <t>Irati Beristain rezola</t>
  </si>
  <si>
    <t>Iñaki Bastarrica</t>
  </si>
  <si>
    <t>Julia Aguirre Garcia</t>
  </si>
  <si>
    <t>Dion Zwinkels</t>
  </si>
  <si>
    <t>María Castaño</t>
  </si>
  <si>
    <t>Xabier Lukas Solano</t>
  </si>
  <si>
    <t>Sarai Puerta</t>
  </si>
  <si>
    <t>Irati Cuadrado</t>
  </si>
  <si>
    <t>Hodei Urresti</t>
  </si>
  <si>
    <t>Alain Guridi Aldalur</t>
  </si>
  <si>
    <t>JOSEBA SAGARZAZU IBARGUREN</t>
  </si>
  <si>
    <t>Guillermo Gabilondo</t>
  </si>
  <si>
    <t>Está caducada, pero se le ha dicho que se le dará</t>
  </si>
  <si>
    <t>Aritz Mujika Saizar</t>
  </si>
  <si>
    <t>Paula Guadix Crespo</t>
  </si>
  <si>
    <t>Alberto Valdepeñas Nieva</t>
  </si>
  <si>
    <t>Iraia Prieto</t>
  </si>
  <si>
    <t>Nerea Fuentes</t>
  </si>
  <si>
    <t>AINHOA Lopetegui Arandia</t>
  </si>
  <si>
    <t>Luis Vergara</t>
  </si>
  <si>
    <t>Sofia Tadeo Legorburu</t>
  </si>
  <si>
    <t>Giulia Spigai</t>
  </si>
  <si>
    <t>Maite Saez</t>
  </si>
  <si>
    <t>Nicole Garcia</t>
  </si>
  <si>
    <t>Erauskin Amaia</t>
  </si>
  <si>
    <t>David Goñi</t>
  </si>
  <si>
    <t>Juncal Michelena Manterola</t>
  </si>
  <si>
    <t>Mikel Oregui Echeverria</t>
  </si>
  <si>
    <t>Eli Rodríguez</t>
  </si>
  <si>
    <t>Leticia Gorostidi</t>
  </si>
  <si>
    <t>Jaione Mendizabal</t>
  </si>
  <si>
    <t>Anakoz Amenabar</t>
  </si>
  <si>
    <t>Zak Rees-mcpherson</t>
  </si>
  <si>
    <t>Maitane Esnaola alkorta</t>
  </si>
  <si>
    <t>Edorta Andueza</t>
  </si>
  <si>
    <t>Loli Ruiz brezmes</t>
  </si>
  <si>
    <t>Auritze Erdocia</t>
  </si>
  <si>
    <t>Amaia Ropero</t>
  </si>
  <si>
    <r>
      <rPr>
        <rFont val="Oswald"/>
        <color rgb="FF777777"/>
        <sz val="8.0"/>
      </rPr>
      <t>Carlos Montabes</t>
    </r>
  </si>
  <si>
    <r>
      <rPr>
        <rFont val="Oswald"/>
        <color rgb="FF777777"/>
        <sz val="8.0"/>
      </rPr>
      <t>Nora Bañales</t>
    </r>
  </si>
  <si>
    <t>riki virto</t>
  </si>
  <si>
    <r>
      <rPr>
        <rFont val="Oswald"/>
        <color rgb="FF777777"/>
        <sz val="8.0"/>
      </rPr>
      <t>Carlos Baz Gonzalez</t>
    </r>
  </si>
  <si>
    <r>
      <rPr>
        <rFont val="Oswald"/>
        <color rgb="FF777777"/>
        <sz val="8.0"/>
      </rPr>
      <t>Paola Flores Carmona</t>
    </r>
  </si>
  <si>
    <t>Beñat Garcia</t>
  </si>
  <si>
    <t>Yolanda Basterra</t>
  </si>
  <si>
    <t>Iker Azpeitia</t>
  </si>
  <si>
    <t xml:space="preserve">Georgia Arkell </t>
  </si>
  <si>
    <t>Alexander Gurrutxaga Muxika</t>
  </si>
  <si>
    <t>Iñigo Iñurrita Peñagarikano</t>
  </si>
  <si>
    <t>Hasier De Los Rios Soraluze</t>
  </si>
  <si>
    <t>Julen Idarreta</t>
  </si>
  <si>
    <t>Orixe BHI</t>
  </si>
  <si>
    <t>Julieta Montoya Arias</t>
  </si>
  <si>
    <t>Pello Etxeberria</t>
  </si>
  <si>
    <t xml:space="preserve">Peru Ruiz Irisarri </t>
  </si>
  <si>
    <t>Jon Gurrutxaga Urbieta</t>
  </si>
  <si>
    <t>Igor Igartua</t>
  </si>
  <si>
    <t>Fran González</t>
  </si>
  <si>
    <t>Tolosako Udala</t>
  </si>
  <si>
    <t>Es el premio de Haragi Gisatu Lehiaketako Saria. ESTÁ PAGADO??? SE AMPLÍA EL PLAZO DE CADUCIDAD. EL CONCURSO NO ES HASTA EL 9 DE MAYO</t>
  </si>
  <si>
    <t>Unai Agirre</t>
  </si>
  <si>
    <t>BORJA SOLABARRIETA ALCORTA</t>
  </si>
  <si>
    <t>Carlos Ruiz de alegria</t>
  </si>
  <si>
    <t>Laura Zabala</t>
  </si>
  <si>
    <t>Oihane Zarraga Gonzalez</t>
  </si>
  <si>
    <t>Samuel rodil</t>
  </si>
  <si>
    <t>Laida Vitoria Castillo</t>
  </si>
  <si>
    <t>María Goñi Oleaga</t>
  </si>
  <si>
    <t>Maide Aldasoro</t>
  </si>
  <si>
    <t>Unai Sardón</t>
  </si>
  <si>
    <t>Iker Martija castellano</t>
  </si>
  <si>
    <t>Anne Arocena</t>
  </si>
  <si>
    <t xml:space="preserve">
Urteaga</t>
  </si>
  <si>
    <t>Melanie Aguilar</t>
  </si>
  <si>
    <t>Eva Sarasola</t>
  </si>
  <si>
    <t>Julen Fernández González</t>
  </si>
  <si>
    <t>Ander Landaberea</t>
  </si>
  <si>
    <t>Izaskun Mendizabal Maiza</t>
  </si>
  <si>
    <t>Oihana Lizarralde Mendizabal</t>
  </si>
  <si>
    <t>Larrañaga</t>
  </si>
  <si>
    <t>Natalia Alfonso Iturralde</t>
  </si>
  <si>
    <t>María Tijero</t>
  </si>
  <si>
    <t>García Aramburu</t>
  </si>
  <si>
    <t>Beñat Zala kain</t>
  </si>
  <si>
    <t>Oihana Calvo</t>
  </si>
  <si>
    <t>iker brother Murillo</t>
  </si>
  <si>
    <t>martb44@gmail.com</t>
  </si>
  <si>
    <t>XABIER AIERBE</t>
  </si>
  <si>
    <t>edurne uribe</t>
  </si>
  <si>
    <t>tiene que pasar a pagarla con tarjeta</t>
  </si>
  <si>
    <t>Irati Bejarano</t>
  </si>
  <si>
    <t>Iban Najera</t>
  </si>
  <si>
    <t>Diego Rodríguez</t>
  </si>
  <si>
    <t>Está embarazada, vendrá pasada la fecha de caducidad. Se le ha dicho que si lo consumen en el año 2025 no hay problema.</t>
  </si>
  <si>
    <t>Olaia Martins Linaza</t>
  </si>
  <si>
    <t>Miguel Alcaine</t>
  </si>
  <si>
    <t>Alberto Barrueco Gutierrez</t>
  </si>
  <si>
    <t>Itsaso Moreno Puga</t>
  </si>
  <si>
    <t>Irene Toledo Alday</t>
  </si>
  <si>
    <t>Azafatan Alkartea Lankor, S L</t>
  </si>
  <si>
    <t>Dylan Johnson</t>
  </si>
  <si>
    <t>Raquel Marquinez</t>
  </si>
  <si>
    <t>Ander Arana Linares</t>
  </si>
  <si>
    <t>Mikel Salterain</t>
  </si>
  <si>
    <t>Maddi Beristain</t>
  </si>
  <si>
    <t>Viene el 25 de Julio. NO AMPLIAR MAS LA FECHA</t>
  </si>
  <si>
    <t>Belen Rubio</t>
  </si>
  <si>
    <t>Asier Aguirrezabala</t>
  </si>
  <si>
    <t>beñat maiz</t>
  </si>
  <si>
    <t>Ainara Salazar Blanco</t>
  </si>
  <si>
    <t>Irene Núñez García</t>
  </si>
  <si>
    <t>Christopher Rubio</t>
  </si>
  <si>
    <t>NATALIA MORIONES</t>
  </si>
  <si>
    <t>Luis Alberto Requejo</t>
  </si>
  <si>
    <t>Julen Saldaña</t>
  </si>
  <si>
    <t>maria sanchez</t>
  </si>
  <si>
    <t>maria isabel pelaez mascaraque</t>
  </si>
  <si>
    <t>Olatz Txopitea</t>
  </si>
  <si>
    <t>María Luisa Reino Rodríguez</t>
  </si>
  <si>
    <t>Arkaitz Lara Quintana</t>
  </si>
  <si>
    <t>Miren Carrero</t>
  </si>
  <si>
    <t>Vendrán en octubre / noviembre, se les ha dicho que ok</t>
  </si>
  <si>
    <t>José Luis Lara Vázquez</t>
  </si>
  <si>
    <t>Irene Sagarna</t>
  </si>
  <si>
    <t>Luisa Maria Alonso Pinedo</t>
  </si>
  <si>
    <t>Ana Martinez</t>
  </si>
  <si>
    <t>Oihane Loizaga prieto</t>
  </si>
  <si>
    <t>Viene el 11/06/25. Todo ok.</t>
  </si>
  <si>
    <t>Claudia Elizari</t>
  </si>
  <si>
    <t>Ane Lopez de arregi</t>
  </si>
  <si>
    <t>Ainhoa Zendoia Iriondo</t>
  </si>
  <si>
    <t>Markel Muñoyerro</t>
  </si>
  <si>
    <t>ASIER OLAZABAL</t>
  </si>
  <si>
    <t>nuñez</t>
  </si>
  <si>
    <t>Alaitz Arandia</t>
  </si>
  <si>
    <t>Viene el 7 de noviembre</t>
  </si>
  <si>
    <t>YOLANDA DIAZ BURUMENDI</t>
  </si>
  <si>
    <t>MIKEL ARIZKORRETA ALDASORO</t>
  </si>
  <si>
    <t>Vienen el 2 de Agosto , no ampliar mas la fecha</t>
  </si>
  <si>
    <t>Amaia Lopez de Dicastillo Inza</t>
  </si>
  <si>
    <t>Maialen Arrue</t>
  </si>
  <si>
    <t>Iratxe Diego Santacoloma</t>
  </si>
  <si>
    <t>XABIER ETXENIKE</t>
  </si>
  <si>
    <t>Diana Muñoz Villegas</t>
  </si>
  <si>
    <t>Mikel Martínez</t>
  </si>
  <si>
    <r>
      <rPr>
        <rFont val="Oswald"/>
        <b/>
        <color rgb="FFFF0000"/>
        <sz val="8.0"/>
      </rPr>
      <t>EXISTEN DOS TARJETAS CON ESTA NUMERACIÓN. COMPROBAR CUÁL ES</t>
    </r>
    <r>
      <rPr>
        <rFont val="Oswald"/>
        <color theme="1"/>
        <sz val="8.0"/>
      </rPr>
      <t xml:space="preserve">. La creó mal Orlando. Se ha seguido la numeración de Shopify, pero el pedido no entró por ahí. </t>
    </r>
  </si>
  <si>
    <t>Andoni Aginalde Errasti</t>
  </si>
  <si>
    <t>Maria Busto Fernandez</t>
  </si>
  <si>
    <t>Naia Fernñandez</t>
  </si>
  <si>
    <t>GORKA VICENTE SANZ</t>
  </si>
  <si>
    <t>Mikel Manchado Jimenez</t>
  </si>
  <si>
    <t>Irati Abarrategi</t>
  </si>
  <si>
    <t>Marta Fontecha</t>
  </si>
  <si>
    <t>Lide López Albisu</t>
  </si>
  <si>
    <t>Xabier Ayestaran</t>
  </si>
  <si>
    <t>LILIANE CABE</t>
  </si>
  <si>
    <t>egoitz Sarasua sorondo</t>
  </si>
  <si>
    <t>Viene el 05/07/25. Esta caducada . NO AMPLIAR MAS LA FECHA</t>
  </si>
  <si>
    <t>Gorka Nuin</t>
  </si>
  <si>
    <t>Gorka Rodriguez etxebeste</t>
  </si>
  <si>
    <t>Carlos Gesteira</t>
  </si>
  <si>
    <t>Chris Wiseman</t>
  </si>
  <si>
    <t>Ane Mugica</t>
  </si>
  <si>
    <t>Zuzana Dvořáčková</t>
  </si>
  <si>
    <t>Amane Rojo</t>
  </si>
  <si>
    <t>Ismael Lete</t>
  </si>
  <si>
    <t>Alberto Martin Fernandez</t>
  </si>
  <si>
    <t>Borja Gainzarain</t>
  </si>
  <si>
    <t>XABIER CALPARSORO LOPEZ DE ARMENTIA</t>
  </si>
  <si>
    <t>Monica Uribe</t>
  </si>
  <si>
    <t>ANE ZUBELZU</t>
  </si>
  <si>
    <t>Timothy Riffe</t>
  </si>
  <si>
    <t>Edurne Larrasoain</t>
  </si>
  <si>
    <t>Reservarán después de que se les caduque. Es primo de Matías. Da igual que esté caducada. Se les dará igual.</t>
  </si>
  <si>
    <t>Nahia Esnaola Barriola</t>
  </si>
  <si>
    <t>Laia Zendoia Atxega</t>
  </si>
  <si>
    <t>Eider Iraeta</t>
  </si>
  <si>
    <t>Manuel Otero-Gudino</t>
  </si>
  <si>
    <t>Marta Beriain Jauregui</t>
  </si>
  <si>
    <t>Sara Salegui</t>
  </si>
  <si>
    <t>Nitin Bajaj</t>
  </si>
  <si>
    <t>Arantxa Aristondo</t>
  </si>
  <si>
    <t>Iñigo Heriz</t>
  </si>
  <si>
    <t>Ainhoa Uria Díez</t>
  </si>
  <si>
    <t>Aitor Jauregi</t>
  </si>
  <si>
    <t>Javier Gonzalez</t>
  </si>
  <si>
    <t>NAIARA IRAZU</t>
  </si>
  <si>
    <t>Ander GOENAGA HERNANDEZ</t>
  </si>
  <si>
    <t>JON AMONDARAIN JACA</t>
  </si>
  <si>
    <t>AINHOA SAGASTUME</t>
  </si>
  <si>
    <t>Mireia Fresnedo</t>
  </si>
  <si>
    <t>lewis pitman</t>
  </si>
  <si>
    <t>JORDINA SOLE BOLADERAS</t>
  </si>
  <si>
    <t>olatz zubiola</t>
  </si>
  <si>
    <t xml:space="preserve">DOMINGO ALCAZAR LARREA </t>
  </si>
  <si>
    <t>Iban Vázquez</t>
  </si>
  <si>
    <t>Jon Medina</t>
  </si>
  <si>
    <t>Ainara Castellanos</t>
  </si>
  <si>
    <t>Morla Thibaut</t>
  </si>
  <si>
    <t>Aiora Albisu Goikoetxea</t>
  </si>
  <si>
    <t>Jon Inclan Boizas</t>
  </si>
  <si>
    <t>Xabi Arraztoa</t>
  </si>
  <si>
    <t>Eider Cubero</t>
  </si>
  <si>
    <t>Sam Rayner</t>
  </si>
  <si>
    <t>Jordi Miralles Jumilla</t>
  </si>
  <si>
    <t>Berta Montero</t>
  </si>
  <si>
    <t>Estitxu Goitia Eizmendi</t>
  </si>
  <si>
    <t>Caducada tienen que usarla este año (2025). Han reservado para el 2 de enero a nombre de Gonzalo Montero (ÚLTIMA OPORTUNIDAD)</t>
  </si>
  <si>
    <t>Hodei Sarasola</t>
  </si>
  <si>
    <t>Andrés Fernández Santiago</t>
  </si>
  <si>
    <t>Maria Luz Rodriguez Ibañez</t>
  </si>
  <si>
    <t>Jose luis Rodriguez</t>
  </si>
  <si>
    <t>FÉLIX LAPUENTE JIMÉNEZ</t>
  </si>
  <si>
    <t>aingeru olabe</t>
  </si>
  <si>
    <t>Yolanda Martínez</t>
  </si>
  <si>
    <t>Patricia Oregi Landa</t>
  </si>
  <si>
    <t>Sergio Ignacio</t>
  </si>
  <si>
    <t>Zumalde Cortabarria</t>
  </si>
  <si>
    <t>JAVIER JAUREGUI</t>
  </si>
  <si>
    <t>Inigo Irastorza</t>
  </si>
  <si>
    <t>Ariana Mikelarena</t>
  </si>
  <si>
    <t>A PARTIR DE AQUÍ TODOS MENÚ DE 260€</t>
  </si>
  <si>
    <t>Maddi Ruiz de Loizaga</t>
  </si>
  <si>
    <t>Raquel Sarriugarte</t>
  </si>
  <si>
    <t>Asier Martín</t>
  </si>
  <si>
    <t>Sofía Arnáiz Jiménez</t>
  </si>
  <si>
    <t>Vanessa Diaz Santos</t>
  </si>
  <si>
    <t>Eneko Ferradas</t>
  </si>
  <si>
    <t>Saioa Cores</t>
  </si>
  <si>
    <t>Mikel Nieto</t>
  </si>
  <si>
    <t>Jasone Armendariz</t>
  </si>
  <si>
    <t>Jon Mikel Udakiola Illarramendi</t>
  </si>
  <si>
    <t>Nerea Azpitarte</t>
  </si>
  <si>
    <t>Iratxe Garcia Barona</t>
  </si>
  <si>
    <t>Maria Teresa Coterillo Madrazo</t>
  </si>
  <si>
    <t>Maider Alonso Ramirez</t>
  </si>
  <si>
    <t>Lorena Cebrián</t>
  </si>
  <si>
    <t>Uxue Rodriguez</t>
  </si>
  <si>
    <t>Dennis Gaines</t>
  </si>
  <si>
    <t>Dani</t>
  </si>
  <si>
    <t>José Manuel Viñuales Gabás</t>
  </si>
  <si>
    <t>Ornelia Acosta García</t>
  </si>
  <si>
    <t>Mikel Zubizarreta Arruti</t>
  </si>
  <si>
    <t>Ander Etxebarriarteun Lopez</t>
  </si>
  <si>
    <t>Rueda Etxebarria</t>
  </si>
  <si>
    <t>Josu Trueba</t>
  </si>
  <si>
    <t>Hollie Harper</t>
  </si>
  <si>
    <t>Luis Mateo Lpz Torres</t>
  </si>
  <si>
    <t>Nicolás Miñaúr Da Silva</t>
  </si>
  <si>
    <t>asier Iparraguirre Arrieta</t>
  </si>
  <si>
    <t>VIENE EL 7/08 NO ALARGAR MAS</t>
  </si>
  <si>
    <t>David Zuñeda</t>
  </si>
  <si>
    <t>Asier Mateos</t>
  </si>
  <si>
    <t>Ainhoa Mardaras Maiztegui</t>
  </si>
  <si>
    <t>Amaya Gabarain Echeverría</t>
  </si>
  <si>
    <t>Amaia Turrillas Garcia</t>
  </si>
  <si>
    <t>Latifa El hadri</t>
  </si>
  <si>
    <t>Urtzi Barrenetxea</t>
  </si>
  <si>
    <t>Fulvio Conte</t>
  </si>
  <si>
    <t>Camila Stella Peralta</t>
  </si>
  <si>
    <t>Laia Morral</t>
  </si>
  <si>
    <t>NO SE HA USADO. SE HA HECHO DEVOLUCIÓN.</t>
  </si>
  <si>
    <t>Josema Cortés</t>
  </si>
  <si>
    <t>Unai Irigoyen</t>
  </si>
  <si>
    <t>Miguel Morago López Vázquez</t>
  </si>
  <si>
    <t>Smartlog Services SL</t>
  </si>
  <si>
    <t>Iker Hurtado</t>
  </si>
  <si>
    <t>Tienen que usarlo antes de que acabe 2025</t>
  </si>
  <si>
    <t>Gonzalo Gonzalez Aguirre</t>
  </si>
  <si>
    <t>Miren Agirrezabal</t>
  </si>
  <si>
    <t>viene el 26/07/25. Caducada todo ok.</t>
  </si>
  <si>
    <t>Ainhoa Durá Anabitarte</t>
  </si>
  <si>
    <t>Aitor Iraolagoitia Zenitagoia</t>
  </si>
  <si>
    <t>IRATI CALVO</t>
  </si>
  <si>
    <t>Raul Peñas Hilario</t>
  </si>
  <si>
    <t>Daniel Fuentes Hernan</t>
  </si>
  <si>
    <t>Roberto Cuadrado</t>
  </si>
  <si>
    <t>MARIAN ANGELES NUÑEZ</t>
  </si>
  <si>
    <t>Gurutze Lasa Zuzuarregui</t>
  </si>
  <si>
    <t xml:space="preserve">Maite Lopez Deogracias </t>
  </si>
  <si>
    <t>Son 3 parejas independientes. En Revo están creadas todas con 1348, pero en el tarjetón se les ha puesto 1348.I   1348.II     1348.III</t>
  </si>
  <si>
    <t>Jaione Pampliega</t>
  </si>
  <si>
    <t>xabier goenaga</t>
  </si>
  <si>
    <t>Monika Zulaika</t>
  </si>
  <si>
    <t>JORGE ALEGRIA LOPEZ</t>
  </si>
  <si>
    <t>mariasun mendikzabal</t>
  </si>
  <si>
    <t>Sara Querejeta</t>
  </si>
  <si>
    <t>OLATZ AMONARRIZ</t>
  </si>
  <si>
    <t>Itsaso Lasa</t>
  </si>
  <si>
    <t>Unai Chocán</t>
  </si>
  <si>
    <t>MARIA ANGELS NUÑEZ</t>
  </si>
  <si>
    <t>Raquel Velazquez Sanchez</t>
  </si>
  <si>
    <t>Iñigo Telleria</t>
  </si>
  <si>
    <t>Olaia Baleztena</t>
  </si>
  <si>
    <t>Asier Salgado</t>
  </si>
  <si>
    <t>Teresa Gravalos</t>
  </si>
  <si>
    <t>Jon Urresti</t>
  </si>
  <si>
    <t>Sheila Carrasco Maceda</t>
  </si>
  <si>
    <t>DIAMA SEME</t>
  </si>
  <si>
    <t>Oier Plaza</t>
  </si>
  <si>
    <t>Fran Aldariz</t>
  </si>
  <si>
    <t>Asier Murillo Herrera</t>
  </si>
  <si>
    <t>Mikel Ortiz</t>
  </si>
  <si>
    <t>Javier jimenez</t>
  </si>
  <si>
    <t>Amaia Torrecilla Martin</t>
  </si>
  <si>
    <t>Junkal Carrillo Mitxelena</t>
  </si>
  <si>
    <t>ALEJANDRO ZUÑIGA</t>
  </si>
  <si>
    <t>Paule Ixiar Loizaga Legarra</t>
  </si>
  <si>
    <t>Iosune Lopez Ravina</t>
  </si>
  <si>
    <t>Pedro Morato</t>
  </si>
  <si>
    <t>Silvia Pina</t>
  </si>
  <si>
    <t>Molina Elvira</t>
  </si>
  <si>
    <t>ANGELA LOZANO</t>
  </si>
  <si>
    <t>Alicia Gaarcia Roman</t>
  </si>
  <si>
    <t>Lourdes Tapia Uranga</t>
  </si>
  <si>
    <t>Joana Goikoetxea</t>
  </si>
  <si>
    <t>Mikel Insausti</t>
  </si>
  <si>
    <t>Maider Gajate Aizpurua</t>
  </si>
  <si>
    <t>virginia LARREA IBARZABAL</t>
  </si>
  <si>
    <t>Ane Garin Murua</t>
  </si>
  <si>
    <t>Oriol Jorba Olmeda</t>
  </si>
  <si>
    <t>Maria Toral Moya</t>
  </si>
  <si>
    <t>Leire Arandia</t>
  </si>
  <si>
    <t>Rémi GIL</t>
  </si>
  <si>
    <t>Beñat Ugartamendia</t>
  </si>
  <si>
    <t>Nora Jauregui Guerrico</t>
  </si>
  <si>
    <t>Mark Lawson</t>
  </si>
  <si>
    <t>Nagore Andikoetxea</t>
  </si>
  <si>
    <t>Tania Fernández Gallego</t>
  </si>
  <si>
    <t>Maider Sorrondegui</t>
  </si>
  <si>
    <t>Ximun Castagnet</t>
  </si>
  <si>
    <t>Oier Aramendi</t>
  </si>
  <si>
    <t>Irene Arrancudiaga</t>
  </si>
  <si>
    <t>Aitor Sorzabal</t>
  </si>
  <si>
    <t>Aitor Unamuno</t>
  </si>
  <si>
    <t>Tiene que usarlo antes de que termine 2025</t>
  </si>
  <si>
    <t>Alaitz Olano Marzol</t>
  </si>
  <si>
    <t>Claire Collins</t>
  </si>
  <si>
    <t>Mailaen Velasco Martin</t>
  </si>
  <si>
    <t>Sam Ryan</t>
  </si>
  <si>
    <t>Aratz Primo</t>
  </si>
  <si>
    <t>Patxi Gonzalez Fuente</t>
  </si>
  <si>
    <t>Fahimeh shiravani</t>
  </si>
  <si>
    <t>Viene el 9/11/2025 . No alargar mas!</t>
  </si>
  <si>
    <t>Maider Aguero</t>
  </si>
  <si>
    <t>Fintan Walsh</t>
  </si>
  <si>
    <t>Pol Bengoa</t>
  </si>
  <si>
    <t>Nagore del Canto</t>
  </si>
  <si>
    <t>Maddi Izagirre</t>
  </si>
  <si>
    <t>Rijk Reefman</t>
  </si>
  <si>
    <t>Mikel Sanchez Oroz</t>
  </si>
  <si>
    <t>Ane Castillejo</t>
  </si>
  <si>
    <t>REEMBOLSADO. NO SE PUEDE UTILIZAR</t>
  </si>
  <si>
    <t>Javier Zalduendo Arregui</t>
  </si>
  <si>
    <t>IGONE CUADRADO GARRIDO</t>
  </si>
  <si>
    <t>Tom O'Donnell</t>
  </si>
  <si>
    <t>Cristina Garcia Mezquita</t>
  </si>
  <si>
    <t>Katherine Gohl</t>
  </si>
  <si>
    <t>Ainara Martin</t>
  </si>
  <si>
    <t>Miila jauregi</t>
  </si>
  <si>
    <t>Maitane Artano Aldalur</t>
  </si>
  <si>
    <t>Alberto Zubelzu</t>
  </si>
  <si>
    <t>Aritz Munarriz Igoa</t>
  </si>
  <si>
    <t>Leire Maiz</t>
  </si>
  <si>
    <t>Maite Mendizabal Eceiza</t>
  </si>
  <si>
    <t>Ander Sarasola</t>
  </si>
  <si>
    <t>Urko ormazabal</t>
  </si>
  <si>
    <t>Juan Echeverria</t>
  </si>
  <si>
    <t>Iñaki Danboriena</t>
  </si>
  <si>
    <t>Juncal Echegaray</t>
  </si>
  <si>
    <t>Jokin Martin</t>
  </si>
  <si>
    <t>Maialen Amundarain Irizar</t>
  </si>
  <si>
    <t>James Schwarz</t>
  </si>
  <si>
    <t>Marta Mateo</t>
  </si>
  <si>
    <t>Idoia Ayastuy</t>
  </si>
  <si>
    <t>Aloña Erauskin Mendizabal</t>
  </si>
  <si>
    <t>Eneko Lozano Sanchez</t>
  </si>
  <si>
    <t>SOMOS IDE SL</t>
  </si>
  <si>
    <t>Maddi Arriortua</t>
  </si>
  <si>
    <t>Garazi Telleria</t>
  </si>
  <si>
    <t>Patricia Valdivieso Jular</t>
  </si>
  <si>
    <t>Maitane Artano</t>
  </si>
  <si>
    <t>Udane Arizmendi Lekuona</t>
  </si>
  <si>
    <t>Ainhoa Mendizabal</t>
  </si>
  <si>
    <t>Aritz Gurruchaga Otermin</t>
  </si>
  <si>
    <t>Patricia Mateos Margareto</t>
  </si>
  <si>
    <t>Oscar Ruiz de Loizaga</t>
  </si>
  <si>
    <t>Maria José Lopetegui</t>
  </si>
  <si>
    <t>Maider Esparza Peragon</t>
  </si>
  <si>
    <t>French Side Travel</t>
  </si>
  <si>
    <t>David Moreno del Hoyo</t>
  </si>
  <si>
    <t>Adrian Peover</t>
  </si>
  <si>
    <t>Ivan Martin</t>
  </si>
  <si>
    <t>Elixabete Ansorena</t>
  </si>
  <si>
    <t>Nerea Maidagan</t>
  </si>
  <si>
    <t>Julen Garcia Larrañaga</t>
  </si>
  <si>
    <t>Arley Herramientas S.L</t>
  </si>
  <si>
    <t>Somos IDE SL</t>
  </si>
  <si>
    <t>Javier Marteles</t>
  </si>
  <si>
    <t>Blanca Esther Perkatz</t>
  </si>
  <si>
    <t>Sonia San Agustin</t>
  </si>
  <si>
    <t>Iraitz Labaka Salazar</t>
  </si>
  <si>
    <t>EAJ PNV Ataun</t>
  </si>
  <si>
    <t>Amber Bradley</t>
  </si>
  <si>
    <t>Jone Juaristi Bastida</t>
  </si>
  <si>
    <t>Diego Lopez</t>
  </si>
  <si>
    <t>Celia Gutierrez Flamarique</t>
  </si>
  <si>
    <t>Mitxel Lakuntza Zumeta</t>
  </si>
  <si>
    <t>Geolan Beasain , S.L.</t>
  </si>
  <si>
    <t>Johana Alcalde</t>
  </si>
  <si>
    <t>Ainhoa Gallastegui Arana</t>
  </si>
  <si>
    <t>Brian castle</t>
  </si>
  <si>
    <t>Paula Echarri</t>
  </si>
  <si>
    <t>Jon Etxaniz</t>
  </si>
  <si>
    <t>Janire Uriarte</t>
  </si>
  <si>
    <t>Maria Marin</t>
  </si>
  <si>
    <t>Jon Martin</t>
  </si>
  <si>
    <t>Ruben Sola Madoz</t>
  </si>
  <si>
    <t>Aitor Legorburu</t>
  </si>
  <si>
    <t>Jone Ochoa-Aizpurua</t>
  </si>
  <si>
    <t>Mireia Escar Visús</t>
  </si>
  <si>
    <t>Maite Goyeneche Iparraguirre</t>
  </si>
  <si>
    <t>Gabriel Pastor</t>
  </si>
  <si>
    <t>Oisin Rogers</t>
  </si>
  <si>
    <t>Opari sin menu, aplicar como descuento</t>
  </si>
  <si>
    <t>Oihana Ibarra</t>
  </si>
  <si>
    <t>Iker Imaz Gonzalez</t>
  </si>
  <si>
    <t>Noelia/Jose Rojas</t>
  </si>
  <si>
    <t>Wendy Bell</t>
  </si>
  <si>
    <t>Belen Gurrutxaga</t>
  </si>
  <si>
    <t>Javier Borde</t>
  </si>
  <si>
    <t>Aingeru Segurola Samaniego</t>
  </si>
  <si>
    <t>Ainhoa vizcaino</t>
  </si>
  <si>
    <t>David Guindano</t>
  </si>
  <si>
    <t>Mariasun Mendizabal</t>
  </si>
  <si>
    <t>José Antonio Cid Gomara</t>
  </si>
  <si>
    <t>Nerea Larrea</t>
  </si>
  <si>
    <t>Maria Furundarena Blsera</t>
  </si>
  <si>
    <t>Ramon Mugica Estibalez</t>
  </si>
  <si>
    <t>Iñaki Mujika</t>
  </si>
  <si>
    <t>Txomin Seoane</t>
  </si>
  <si>
    <t>HA VENIDO A RECOGERLA EN FÍSICO</t>
  </si>
  <si>
    <t>Beatriz Barrena</t>
  </si>
  <si>
    <t>Lesley Heath</t>
  </si>
  <si>
    <t>Imanol Larrache</t>
  </si>
  <si>
    <t>Eneko Garcia</t>
  </si>
  <si>
    <t>Edurne Segurola</t>
  </si>
  <si>
    <t>Sara Gonzalez</t>
  </si>
  <si>
    <t>Amaia Garcia</t>
  </si>
  <si>
    <t>Saimon Gomez</t>
  </si>
  <si>
    <t>Unai Corta</t>
  </si>
  <si>
    <t>VENDRAN A RECOGER</t>
  </si>
  <si>
    <t>Irantzu Larrañaga Aramendi</t>
  </si>
  <si>
    <t>Marcos Menocal</t>
  </si>
  <si>
    <t>Micaela Perez</t>
  </si>
  <si>
    <t>Joseba Zabaleta Miguel</t>
  </si>
  <si>
    <t>Isabel Casado Montado</t>
  </si>
  <si>
    <t>Gaizka Alberdi</t>
  </si>
  <si>
    <t>XABIER CEBERIO</t>
  </si>
  <si>
    <t>ANDER EZQUERRO GARMENDIA</t>
  </si>
  <si>
    <t>CREADA EN EL MOMENTO</t>
  </si>
  <si>
    <t>MILA AMUNDARAIN</t>
  </si>
  <si>
    <t>LO HA PERDIDO</t>
  </si>
  <si>
    <t>JAVIER UGALDE</t>
  </si>
  <si>
    <t xml:space="preserve">ANGEL BAZTAN </t>
  </si>
  <si>
    <t>NEREA LETAMENDIA</t>
  </si>
  <si>
    <t>NO SEGUIR NUMERACIÓN</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</si>
</sst>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0\ [$€-1]"/>
    <numFmt numFmtId="165" formatCode="d/m/yy"/>
    <numFmt numFmtId="166" formatCode="dd/mm/yyyy"/>
    <numFmt numFmtId="167" formatCode="dd/mm/yy"/>
    <numFmt numFmtId="168" formatCode="d/MM/yyyy"/>
    <numFmt numFmtId="169" formatCode="dd/mm"/>
    <numFmt numFmtId="170" formatCode="d/m/yyyy"/>
    <numFmt numFmtId="171" formatCode="mm/yyyy"/>
    <numFmt numFmtId="172" formatCode="dd-mm-yy"/>
    <numFmt numFmtId="173" formatCode="d/m"/>
  </numFmts>
  <fonts count="27">
    <font>
      <sz val="10.0"/>
      <color rgb="FF000000"/>
      <name val="Arial"/>
      <scheme val="minor"/>
    </font>
    <font>
      <b/>
      <sz val="8.0"/>
      <color rgb="FFCCCCCC"/>
      <name val="Oswald"/>
    </font>
    <font>
      <b/>
      <sz val="8.0"/>
      <color rgb="FFFFFFFF"/>
      <name val="Oswald"/>
    </font>
    <font>
      <sz val="8.0"/>
      <color theme="1"/>
      <name val="Oswald"/>
    </font>
    <font>
      <b/>
      <sz val="8.0"/>
      <color rgb="FF999999"/>
      <name val="Oswald"/>
    </font>
    <font/>
    <font>
      <color theme="1"/>
      <name val="Arial"/>
      <scheme val="minor"/>
    </font>
    <font>
      <b/>
      <sz val="8.0"/>
      <color rgb="FFB7B7B7"/>
      <name val="Oswald"/>
    </font>
    <font>
      <sz val="8.0"/>
      <color rgb="FFCCCCCC"/>
      <name val="Oswald"/>
    </font>
    <font>
      <sz val="9.0"/>
      <color rgb="FFCCCCCC"/>
      <name val="Oswald"/>
    </font>
    <font>
      <sz val="9.0"/>
      <color theme="1"/>
      <name val="Oswald"/>
    </font>
    <font>
      <sz val="8.0"/>
      <color theme="1"/>
      <name val="Arial"/>
      <scheme val="minor"/>
    </font>
    <font>
      <sz val="9.0"/>
      <color rgb="FF000000"/>
      <name val="Oswald"/>
    </font>
    <font>
      <sz val="8.0"/>
      <color rgb="FF000000"/>
      <name val="Oswald"/>
    </font>
    <font>
      <sz val="8.0"/>
      <color rgb="FF1F1F1F"/>
      <name val="Oswald"/>
    </font>
    <font>
      <color theme="1"/>
      <name val="Oswald"/>
    </font>
    <font>
      <u/>
      <sz val="9.0"/>
      <color rgb="FF1155CC"/>
      <name val="Oswald"/>
    </font>
    <font>
      <sz val="12.0"/>
      <color rgb="FF777777"/>
      <name val="Oswald"/>
    </font>
    <font>
      <b/>
      <sz val="9.0"/>
      <color theme="1"/>
      <name val="Oswald"/>
    </font>
    <font>
      <color rgb="FF222222"/>
      <name val="Oswald"/>
    </font>
    <font>
      <sz val="30.0"/>
      <color rgb="FFFFFFFF"/>
      <name val="Oswald"/>
    </font>
    <font>
      <b/>
      <sz val="8.0"/>
      <color rgb="FFFF0000"/>
      <name val="Oswald"/>
    </font>
    <font>
      <u/>
      <sz val="8.0"/>
      <color rgb="FF0000FF"/>
      <name val="Oswald"/>
    </font>
    <font>
      <sz val="10.0"/>
      <color rgb="FFFFFFFF"/>
      <name val="Oswald"/>
    </font>
    <font>
      <sz val="21.0"/>
      <color theme="1"/>
      <name val="Oswald"/>
    </font>
    <font>
      <sz val="43.0"/>
      <color rgb="FFCCCCCC"/>
      <name val="Oswald"/>
    </font>
    <font>
      <sz val="16.0"/>
      <color rgb="FFCCCCCC"/>
      <name val="Oswald"/>
    </font>
  </fonts>
  <fills count="14">
    <fill>
      <patternFill patternType="none"/>
    </fill>
    <fill>
      <patternFill patternType="lightGray"/>
    </fill>
    <fill>
      <patternFill patternType="solid">
        <fgColor rgb="FF000000"/>
        <bgColor rgb="FF000000"/>
      </patternFill>
    </fill>
    <fill>
      <patternFill patternType="solid">
        <fgColor rgb="FFB7B7B7"/>
        <bgColor rgb="FFB7B7B7"/>
      </patternFill>
    </fill>
    <fill>
      <patternFill patternType="solid">
        <fgColor rgb="FFFFFF00"/>
        <bgColor rgb="FFFFFF00"/>
      </patternFill>
    </fill>
    <fill>
      <patternFill patternType="solid">
        <fgColor rgb="FF4A86E8"/>
        <bgColor rgb="FF4A86E8"/>
      </patternFill>
    </fill>
    <fill>
      <patternFill patternType="solid">
        <fgColor rgb="FFFF9900"/>
        <bgColor rgb="FFFF9900"/>
      </patternFill>
    </fill>
    <fill>
      <patternFill patternType="solid">
        <fgColor rgb="FFFF0000"/>
        <bgColor rgb="FFFF0000"/>
      </patternFill>
    </fill>
    <fill>
      <patternFill patternType="solid">
        <fgColor rgb="FF00FF00"/>
        <bgColor rgb="FF00FF00"/>
      </patternFill>
    </fill>
    <fill>
      <patternFill patternType="solid">
        <fgColor rgb="FF00FFFF"/>
        <bgColor rgb="FF00FFFF"/>
      </patternFill>
    </fill>
    <fill>
      <patternFill patternType="solid">
        <fgColor theme="0"/>
        <bgColor theme="0"/>
      </patternFill>
    </fill>
    <fill>
      <patternFill patternType="solid">
        <fgColor rgb="FFFFFFFF"/>
        <bgColor rgb="FFFFFFFF"/>
      </patternFill>
    </fill>
    <fill>
      <patternFill patternType="solid">
        <fgColor rgb="FFA2C4C9"/>
        <bgColor rgb="FFA2C4C9"/>
      </patternFill>
    </fill>
    <fill>
      <patternFill patternType="solid">
        <fgColor theme="9"/>
        <bgColor theme="9"/>
      </patternFill>
    </fill>
  </fills>
  <borders count="15">
    <border/>
    <border>
      <right style="thick">
        <color rgb="FFD9D9D9"/>
      </right>
    </border>
    <border>
      <left style="thick">
        <color rgb="FF000000"/>
      </left>
    </border>
    <border>
      <left style="thick">
        <color rgb="FF000000"/>
      </left>
      <top style="thick">
        <color rgb="FF000000"/>
      </top>
    </border>
    <border>
      <right style="thick">
        <color rgb="FF000000"/>
      </right>
    </border>
    <border>
      <top style="thick">
        <color rgb="FF000000"/>
      </top>
    </border>
    <border>
      <left style="thin">
        <color rgb="FF000000"/>
      </left>
      <top style="thin">
        <color rgb="FF000000"/>
      </top>
      <bottom style="thin">
        <color rgb="FF000000"/>
      </bottom>
    </border>
    <border>
      <top style="thin">
        <color rgb="FF000000"/>
      </top>
      <bottom style="thin">
        <color rgb="FF000000"/>
      </bottom>
    </border>
    <border>
      <right style="thick">
        <color rgb="FF000000"/>
      </right>
      <top style="thick">
        <color rgb="FF000000"/>
      </top>
    </border>
    <border>
      <right style="thin">
        <color rgb="FF000000"/>
      </right>
      <top style="thin">
        <color rgb="FF000000"/>
      </top>
      <bottom style="thin">
        <color rgb="FF000000"/>
      </bottom>
    </border>
    <border>
      <left style="thick">
        <color rgb="FF000000"/>
      </left>
      <right style="thick">
        <color rgb="FF000000"/>
      </right>
      <top style="thick">
        <color rgb="FF000000"/>
      </top>
      <bottom style="thick">
        <color rgb="FF000000"/>
      </bottom>
    </border>
    <border>
      <right style="thick">
        <color rgb="FF000000"/>
      </right>
      <top style="thick">
        <color rgb="FF000000"/>
      </top>
      <bottom style="thick">
        <color rgb="FF000000"/>
      </bottom>
    </border>
    <border>
      <left style="thin">
        <color rgb="FF000000"/>
      </left>
      <right style="thin">
        <color rgb="FF000000"/>
      </right>
      <top style="thin">
        <color rgb="FF000000"/>
      </top>
      <bottom style="thin">
        <color rgb="FF000000"/>
      </bottom>
    </border>
    <border>
      <left style="thick">
        <color rgb="FF000000"/>
      </left>
      <top style="thick">
        <color rgb="FF000000"/>
      </top>
      <bottom style="thick">
        <color rgb="FF000000"/>
      </bottom>
    </border>
    <border>
      <left style="thick">
        <color rgb="FF000000"/>
      </left>
      <right style="thick">
        <color rgb="FF000000"/>
      </right>
    </border>
  </borders>
  <cellStyleXfs count="1">
    <xf borderId="0" fillId="0" fontId="0" numFmtId="0" applyAlignment="1" applyFont="1"/>
  </cellStyleXfs>
  <cellXfs count="20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1"/>
    </xf>
    <xf borderId="0" fillId="2" fontId="2" numFmtId="0" xfId="0" applyAlignment="1" applyFill="1" applyFont="1">
      <alignment horizontal="center" readingOrder="0" shrinkToFit="0" vertical="center" wrapText="1"/>
    </xf>
    <xf borderId="1" fillId="0" fontId="1" numFmtId="0" xfId="0" applyAlignment="1" applyBorder="1" applyFont="1">
      <alignment horizontal="center" readingOrder="0" shrinkToFit="0" vertical="center" wrapText="1"/>
    </xf>
    <xf borderId="0" fillId="0" fontId="3" numFmtId="0" xfId="0" applyAlignment="1" applyFont="1">
      <alignment horizontal="left"/>
    </xf>
    <xf borderId="0" fillId="0" fontId="3" numFmtId="4" xfId="0" applyFont="1" applyNumberFormat="1"/>
    <xf borderId="0" fillId="0" fontId="3" numFmtId="0" xfId="0" applyAlignment="1" applyFont="1">
      <alignment horizontal="center" readingOrder="0"/>
    </xf>
    <xf borderId="0" fillId="0" fontId="3" numFmtId="0" xfId="0" applyAlignment="1" applyFont="1">
      <alignment shrinkToFit="0" wrapText="1"/>
    </xf>
    <xf borderId="2" fillId="2" fontId="2" numFmtId="0" xfId="0" applyAlignment="1" applyBorder="1" applyFont="1">
      <alignment horizontal="center" readingOrder="0" shrinkToFit="0" vertical="center" wrapText="1"/>
    </xf>
    <xf borderId="3" fillId="2" fontId="4" numFmtId="0" xfId="0" applyAlignment="1" applyBorder="1" applyFont="1">
      <alignment horizontal="center" readingOrder="0" shrinkToFit="0" vertical="center" wrapText="1"/>
    </xf>
    <xf borderId="4" fillId="0" fontId="5" numFmtId="0" xfId="0" applyBorder="1" applyFont="1"/>
    <xf borderId="5" fillId="0" fontId="5" numFmtId="0" xfId="0" applyBorder="1" applyFont="1"/>
    <xf borderId="6" fillId="3" fontId="6" numFmtId="0" xfId="0" applyAlignment="1" applyBorder="1" applyFill="1" applyFont="1">
      <alignment horizontal="center" readingOrder="0"/>
    </xf>
    <xf borderId="1" fillId="2" fontId="2" numFmtId="0" xfId="0" applyAlignment="1" applyBorder="1" applyFont="1">
      <alignment horizontal="center" readingOrder="0" shrinkToFit="0" vertical="center" wrapText="1"/>
    </xf>
    <xf borderId="0" fillId="2" fontId="2" numFmtId="3" xfId="0" applyAlignment="1" applyFont="1" applyNumberFormat="1">
      <alignment horizontal="center" readingOrder="0" shrinkToFit="0" vertical="center" wrapText="1"/>
    </xf>
    <xf borderId="7" fillId="0" fontId="5" numFmtId="0" xfId="0" applyBorder="1" applyFont="1"/>
    <xf borderId="8" fillId="0" fontId="5" numFmtId="0" xfId="0" applyBorder="1" applyFont="1"/>
    <xf borderId="0" fillId="2" fontId="2" numFmtId="1" xfId="0" applyAlignment="1" applyFont="1" applyNumberFormat="1">
      <alignment horizontal="center" readingOrder="0" shrinkToFit="0" vertical="center" wrapText="1"/>
    </xf>
    <xf borderId="0" fillId="2" fontId="2" numFmtId="164" xfId="0" applyAlignment="1" applyFont="1" applyNumberFormat="1">
      <alignment horizontal="center" readingOrder="0" shrinkToFit="0" vertical="center" wrapText="1"/>
    </xf>
    <xf borderId="9" fillId="0" fontId="5" numFmtId="0" xfId="0" applyBorder="1" applyFont="1"/>
    <xf borderId="0" fillId="2" fontId="4" numFmtId="0" xfId="0" applyAlignment="1" applyFont="1">
      <alignment horizontal="center" readingOrder="0" shrinkToFit="0" vertical="center" wrapText="1"/>
    </xf>
    <xf borderId="10" fillId="2" fontId="7" numFmtId="0" xfId="0" applyAlignment="1" applyBorder="1" applyFont="1">
      <alignment horizontal="center" readingOrder="0" shrinkToFit="0" textRotation="90" vertical="center" wrapText="1"/>
    </xf>
    <xf borderId="6" fillId="4" fontId="6" numFmtId="0" xfId="0" applyAlignment="1" applyBorder="1" applyFill="1" applyFont="1">
      <alignment horizontal="center" readingOrder="0"/>
    </xf>
    <xf borderId="11" fillId="2" fontId="7" numFmtId="0" xfId="0" applyAlignment="1" applyBorder="1" applyFont="1">
      <alignment horizontal="center" readingOrder="0" shrinkToFit="0" textRotation="90" vertical="center" wrapText="1"/>
    </xf>
    <xf borderId="0" fillId="2" fontId="2" numFmtId="4" xfId="0" applyAlignment="1" applyFont="1" applyNumberFormat="1">
      <alignment horizontal="center" readingOrder="0" shrinkToFit="0" vertical="center" wrapText="1"/>
    </xf>
    <xf borderId="12" fillId="4" fontId="6" numFmtId="0" xfId="0" applyAlignment="1" applyBorder="1" applyFont="1">
      <alignment horizontal="center" readingOrder="0"/>
    </xf>
    <xf borderId="0" fillId="2" fontId="7" numFmtId="0" xfId="0" applyAlignment="1" applyFont="1">
      <alignment horizontal="center" readingOrder="0" shrinkToFit="0" textRotation="90" vertical="center" wrapText="1"/>
    </xf>
    <xf borderId="13" fillId="2" fontId="4" numFmtId="0" xfId="0" applyAlignment="1" applyBorder="1" applyFont="1">
      <alignment horizontal="center" readingOrder="0" shrinkToFit="0" textRotation="90" vertical="center" wrapText="1"/>
    </xf>
    <xf borderId="1" fillId="0" fontId="8" numFmtId="0" xfId="0" applyAlignment="1" applyBorder="1" applyFont="1">
      <alignment horizontal="left" readingOrder="0" shrinkToFit="0" vertical="center" wrapText="1"/>
    </xf>
    <xf borderId="0" fillId="0" fontId="9" numFmtId="0" xfId="0" applyAlignment="1" applyFont="1">
      <alignment horizontal="left" readingOrder="0" shrinkToFit="0" vertical="center" wrapText="1"/>
    </xf>
    <xf borderId="11" fillId="2" fontId="4" numFmtId="4" xfId="0" applyAlignment="1" applyBorder="1" applyFont="1" applyNumberFormat="1">
      <alignment horizontal="center" readingOrder="0" shrinkToFit="0" textRotation="90" vertical="center" wrapText="1"/>
    </xf>
    <xf borderId="0" fillId="0" fontId="10" numFmtId="0" xfId="0" applyAlignment="1" applyFont="1">
      <alignment horizontal="center" readingOrder="0" shrinkToFit="0" vertical="center" wrapText="1"/>
    </xf>
    <xf borderId="6" fillId="5" fontId="6" numFmtId="0" xfId="0" applyAlignment="1" applyBorder="1" applyFill="1" applyFont="1">
      <alignment readingOrder="0"/>
    </xf>
    <xf borderId="0" fillId="0" fontId="10" numFmtId="0" xfId="0" applyAlignment="1" applyFont="1">
      <alignment horizontal="center" vertical="center"/>
    </xf>
    <xf borderId="11" fillId="2" fontId="4" numFmtId="0" xfId="0" applyAlignment="1" applyBorder="1" applyFont="1">
      <alignment horizontal="center" readingOrder="0" shrinkToFit="0" textRotation="90" vertical="center" wrapText="1"/>
    </xf>
    <xf borderId="0" fillId="0" fontId="10" numFmtId="0" xfId="0" applyAlignment="1" applyFont="1">
      <alignment horizontal="center" readingOrder="0" vertical="center"/>
    </xf>
    <xf borderId="0" fillId="0" fontId="10" numFmtId="1" xfId="0" applyAlignment="1" applyFont="1" applyNumberFormat="1">
      <alignment horizontal="center" readingOrder="0" vertical="center"/>
    </xf>
    <xf borderId="12" fillId="5" fontId="6" numFmtId="0" xfId="0" applyAlignment="1" applyBorder="1" applyFont="1">
      <alignment horizontal="center" readingOrder="0"/>
    </xf>
    <xf borderId="0" fillId="0" fontId="10" numFmtId="164" xfId="0" applyAlignment="1" applyFont="1" applyNumberFormat="1">
      <alignment horizontal="center" readingOrder="0" shrinkToFit="0" vertical="center" wrapText="1"/>
    </xf>
    <xf borderId="10" fillId="2" fontId="4" numFmtId="0" xfId="0" applyAlignment="1" applyBorder="1" applyFont="1">
      <alignment horizontal="center" readingOrder="0" shrinkToFit="0" textRotation="90" vertical="center" wrapText="1"/>
    </xf>
    <xf borderId="2" fillId="0" fontId="10" numFmtId="0" xfId="0" applyAlignment="1" applyBorder="1" applyFont="1">
      <alignment horizontal="center" readingOrder="0" vertical="center"/>
    </xf>
    <xf borderId="6" fillId="5" fontId="6" numFmtId="0" xfId="0" applyAlignment="1" applyBorder="1" applyFont="1">
      <alignment horizontal="center" readingOrder="0"/>
    </xf>
    <xf borderId="0" fillId="0" fontId="3" numFmtId="0" xfId="0" applyAlignment="1" applyFont="1">
      <alignment horizontal="center" readingOrder="0" shrinkToFit="0" vertical="center" wrapText="1"/>
    </xf>
    <xf borderId="0" fillId="2" fontId="4" numFmtId="0" xfId="0" applyAlignment="1" applyFont="1">
      <alignment horizontal="center" readingOrder="0" shrinkToFit="0" textRotation="90" vertical="center" wrapText="1"/>
    </xf>
    <xf borderId="6" fillId="6" fontId="6" numFmtId="0" xfId="0" applyAlignment="1" applyBorder="1" applyFill="1" applyFont="1">
      <alignment horizontal="center" readingOrder="0"/>
    </xf>
    <xf borderId="0" fillId="0" fontId="8" numFmtId="0" xfId="0" applyAlignment="1" applyFont="1">
      <alignment horizontal="left" readingOrder="0" shrinkToFit="0" vertical="center" wrapText="1"/>
    </xf>
    <xf borderId="2" fillId="0" fontId="10" numFmtId="0" xfId="0" applyAlignment="1" applyBorder="1" applyFont="1">
      <alignment horizontal="center" readingOrder="0" shrinkToFit="0" vertical="center" wrapText="1"/>
    </xf>
    <xf borderId="0" fillId="0" fontId="3" numFmtId="0" xfId="0" applyAlignment="1" applyFont="1">
      <alignment horizontal="center" readingOrder="0" vertical="center"/>
    </xf>
    <xf borderId="14" fillId="0" fontId="10" numFmtId="0" xfId="0" applyAlignment="1" applyBorder="1" applyFont="1">
      <alignment horizontal="center" readingOrder="0" shrinkToFit="0" vertical="center" wrapText="1"/>
    </xf>
    <xf borderId="0" fillId="0" fontId="3" numFmtId="0" xfId="0" applyAlignment="1" applyFont="1">
      <alignment horizontal="left" readingOrder="0" shrinkToFit="0" vertical="center" wrapText="1"/>
    </xf>
    <xf borderId="12" fillId="6" fontId="6" numFmtId="0" xfId="0" applyAlignment="1" applyBorder="1" applyFont="1">
      <alignment horizontal="center" readingOrder="0"/>
    </xf>
    <xf borderId="0" fillId="0"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164" xfId="0" applyAlignment="1" applyFont="1" applyNumberFormat="1">
      <alignment horizontal="center" readingOrder="0" shrinkToFit="0" vertical="center" wrapText="1"/>
    </xf>
    <xf borderId="0" fillId="7" fontId="3" numFmtId="0" xfId="0" applyAlignment="1" applyFill="1" applyFont="1">
      <alignment horizontal="center" readingOrder="0" shrinkToFit="0" vertical="center" wrapText="1"/>
    </xf>
    <xf borderId="2" fillId="0" fontId="3" numFmtId="165"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4" fillId="0" fontId="3" numFmtId="166" xfId="0" applyAlignment="1" applyBorder="1" applyFont="1" applyNumberFormat="1">
      <alignment horizontal="center" readingOrder="0" vertical="center"/>
    </xf>
    <xf borderId="2" fillId="0" fontId="3" numFmtId="0" xfId="0" applyAlignment="1" applyBorder="1" applyFont="1">
      <alignment horizontal="center" readingOrder="0" shrinkToFit="0" vertical="center" wrapText="1"/>
    </xf>
    <xf borderId="4" fillId="0" fontId="3" numFmtId="0" xfId="0" applyAlignment="1" applyBorder="1" applyFont="1">
      <alignment horizontal="center" vertical="center"/>
    </xf>
    <xf borderId="14" fillId="0" fontId="3" numFmtId="0" xfId="0" applyAlignment="1" applyBorder="1" applyFont="1">
      <alignment horizontal="center" readingOrder="0" shrinkToFit="0" vertical="center" wrapText="1"/>
    </xf>
    <xf borderId="4" fillId="0" fontId="3" numFmtId="0" xfId="0" applyAlignment="1" applyBorder="1" applyFont="1">
      <alignment horizontal="center" readingOrder="0" shrinkToFit="0" vertical="center" wrapText="1"/>
    </xf>
    <xf borderId="6" fillId="0" fontId="6" numFmtId="0" xfId="0" applyBorder="1" applyFont="1"/>
    <xf borderId="12" fillId="0" fontId="6" numFmtId="0" xfId="0" applyBorder="1" applyFont="1"/>
    <xf borderId="14" fillId="0" fontId="3" numFmtId="14" xfId="0" applyAlignment="1" applyBorder="1" applyFont="1" applyNumberFormat="1">
      <alignment horizontal="center" readingOrder="0" shrinkToFit="0" vertical="center" wrapText="1"/>
    </xf>
    <xf borderId="14" fillId="0" fontId="3" numFmtId="167" xfId="0" applyAlignment="1" applyBorder="1" applyFont="1" applyNumberFormat="1">
      <alignment horizontal="center" readingOrder="0" shrinkToFit="0" vertical="center" wrapText="1"/>
    </xf>
    <xf borderId="0" fillId="0" fontId="11" numFmtId="0" xfId="0" applyAlignment="1" applyFont="1">
      <alignment horizontal="center" readingOrder="0"/>
    </xf>
    <xf borderId="4" fillId="0" fontId="3" numFmtId="4" xfId="0" applyAlignment="1" applyBorder="1" applyFont="1" applyNumberFormat="1">
      <alignment horizontal="center" readingOrder="0" vertical="center"/>
    </xf>
    <xf borderId="4" fillId="0" fontId="3" numFmtId="165" xfId="0" applyAlignment="1" applyBorder="1" applyFont="1" applyNumberFormat="1">
      <alignment horizontal="center" readingOrder="0" vertical="center"/>
    </xf>
    <xf borderId="4" fillId="0" fontId="3" numFmtId="168" xfId="0" applyAlignment="1" applyBorder="1" applyFont="1" applyNumberFormat="1">
      <alignment horizontal="center" readingOrder="0" vertical="center"/>
    </xf>
    <xf borderId="4" fillId="0" fontId="3" numFmtId="4" xfId="0" applyAlignment="1" applyBorder="1" applyFont="1" applyNumberFormat="1">
      <alignment horizontal="center" vertical="center"/>
    </xf>
    <xf borderId="0" fillId="0" fontId="12" numFmtId="0" xfId="0" applyAlignment="1" applyFont="1">
      <alignment horizontal="center" readingOrder="0" vertical="center"/>
    </xf>
    <xf borderId="0" fillId="0" fontId="10" numFmtId="0" xfId="0" applyAlignment="1" applyFont="1">
      <alignment horizontal="center" readingOrder="0" vertical="bottom"/>
    </xf>
    <xf borderId="4" fillId="0" fontId="3" numFmtId="3" xfId="0" applyAlignment="1" applyBorder="1" applyFont="1" applyNumberFormat="1">
      <alignment horizontal="center" readingOrder="0" vertical="center"/>
    </xf>
    <xf borderId="4" fillId="0" fontId="3" numFmtId="169" xfId="0" applyAlignment="1" applyBorder="1" applyFont="1" applyNumberFormat="1">
      <alignment horizontal="center" readingOrder="0" vertical="center"/>
    </xf>
    <xf borderId="0" fillId="0" fontId="10" numFmtId="0" xfId="0" applyAlignment="1" applyFont="1">
      <alignment horizontal="center" shrinkToFit="0" vertical="center" wrapText="1"/>
    </xf>
    <xf borderId="2" fillId="0" fontId="10" numFmtId="0" xfId="0" applyAlignment="1" applyBorder="1" applyFont="1">
      <alignment horizontal="center" readingOrder="0" shrinkToFit="0" vertical="center" wrapText="1"/>
    </xf>
    <xf borderId="14" fillId="0" fontId="10" numFmtId="0" xfId="0" applyAlignment="1" applyBorder="1" applyFont="1">
      <alignment horizontal="center" readingOrder="0" shrinkToFit="0" vertical="center" wrapText="1"/>
    </xf>
    <xf borderId="0" fillId="0" fontId="3" numFmtId="0" xfId="0" applyAlignment="1" applyFont="1">
      <alignment horizontal="center" readingOrder="0" vertical="bottom"/>
    </xf>
    <xf borderId="0" fillId="0" fontId="3" numFmtId="164" xfId="0" applyAlignment="1" applyFont="1" applyNumberFormat="1">
      <alignment horizontal="center" shrinkToFit="0" vertical="center" wrapText="1"/>
    </xf>
    <xf borderId="0" fillId="0" fontId="3" numFmtId="0" xfId="0" applyAlignment="1" applyFont="1">
      <alignment horizontal="center" shrinkToFit="0" vertical="center" wrapText="1"/>
    </xf>
    <xf borderId="0" fillId="8" fontId="10" numFmtId="0" xfId="0" applyAlignment="1" applyFill="1" applyFont="1">
      <alignment horizontal="center" readingOrder="0" vertical="bottom"/>
    </xf>
    <xf borderId="0" fillId="8" fontId="10" numFmtId="0" xfId="0" applyAlignment="1" applyFont="1">
      <alignment horizontal="center" readingOrder="0" vertical="center"/>
    </xf>
    <xf borderId="0" fillId="8" fontId="10" numFmtId="1" xfId="0" applyAlignment="1" applyFont="1" applyNumberFormat="1">
      <alignment horizontal="center" readingOrder="0" vertical="center"/>
    </xf>
    <xf borderId="0" fillId="0" fontId="13" numFmtId="0" xfId="0" applyAlignment="1" applyFont="1">
      <alignment horizontal="center" readingOrder="0" vertical="center"/>
    </xf>
    <xf borderId="0" fillId="8" fontId="10" numFmtId="164" xfId="0" applyAlignment="1" applyFont="1" applyNumberFormat="1">
      <alignment horizontal="center" readingOrder="0" shrinkToFit="0" vertical="center" wrapText="1"/>
    </xf>
    <xf borderId="0" fillId="8" fontId="10" numFmtId="0" xfId="0" applyAlignment="1" applyFont="1">
      <alignment horizontal="center" readingOrder="0" shrinkToFit="0" vertical="center" wrapText="1"/>
    </xf>
    <xf borderId="2" fillId="8" fontId="10" numFmtId="0" xfId="0" applyAlignment="1" applyBorder="1" applyFont="1">
      <alignment horizontal="center" readingOrder="0" vertical="center"/>
    </xf>
    <xf borderId="2" fillId="8" fontId="10" numFmtId="0" xfId="0" applyAlignment="1" applyBorder="1" applyFont="1">
      <alignment horizontal="center" readingOrder="0" shrinkToFit="0" vertical="center" wrapText="1"/>
    </xf>
    <xf borderId="14" fillId="8" fontId="10" numFmtId="0" xfId="0" applyAlignment="1" applyBorder="1" applyFont="1">
      <alignment horizontal="center" readingOrder="0" shrinkToFit="0" vertical="center" wrapText="1"/>
    </xf>
    <xf borderId="0" fillId="0" fontId="3" numFmtId="1"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shrinkToFit="0" wrapText="1"/>
    </xf>
    <xf borderId="0" fillId="0" fontId="3" numFmtId="0" xfId="0" applyAlignment="1" applyFont="1">
      <alignment horizontal="center"/>
    </xf>
    <xf borderId="0" fillId="0" fontId="3" numFmtId="169" xfId="0" applyAlignment="1" applyFont="1" applyNumberFormat="1">
      <alignment horizontal="center" readingOrder="0" vertical="center"/>
    </xf>
    <xf borderId="2" fillId="0" fontId="3" numFmtId="165" xfId="0" applyAlignment="1" applyBorder="1" applyFont="1" applyNumberFormat="1">
      <alignment horizontal="center"/>
    </xf>
    <xf borderId="4" fillId="0" fontId="3" numFmtId="167" xfId="0" applyAlignment="1" applyBorder="1" applyFont="1" applyNumberFormat="1">
      <alignment horizontal="center" readingOrder="0" shrinkToFit="0" vertical="center" wrapText="1"/>
    </xf>
    <xf borderId="0" fillId="9" fontId="3" numFmtId="0" xfId="0" applyAlignment="1" applyFill="1" applyFont="1">
      <alignment horizontal="center" readingOrder="0" shrinkToFit="0" vertical="center" wrapText="1"/>
    </xf>
    <xf borderId="0" fillId="0" fontId="3" numFmtId="0" xfId="0" applyAlignment="1" applyFont="1">
      <alignment horizontal="center" readingOrder="0" shrinkToFit="0" wrapText="1"/>
    </xf>
    <xf borderId="2" fillId="0" fontId="3" numFmtId="165" xfId="0" applyAlignment="1" applyBorder="1" applyFont="1" applyNumberFormat="1">
      <alignment horizontal="center" readingOrder="0"/>
    </xf>
    <xf borderId="0" fillId="9" fontId="3" numFmtId="0" xfId="0" applyAlignment="1" applyFont="1">
      <alignment horizontal="center" readingOrder="0" vertical="center"/>
    </xf>
    <xf borderId="0" fillId="0" fontId="3" numFmtId="0" xfId="0" applyAlignment="1" applyFont="1">
      <alignment horizontal="center" shrinkToFit="0" vertical="bottom" wrapText="1"/>
    </xf>
    <xf borderId="0" fillId="0" fontId="3" numFmtId="0" xfId="0" applyAlignment="1" applyFont="1">
      <alignment horizontal="center" vertical="bottom"/>
    </xf>
    <xf borderId="0" fillId="0" fontId="3" numFmtId="164" xfId="0" applyAlignment="1" applyFont="1" applyNumberFormat="1">
      <alignment horizontal="center" shrinkToFit="0" wrapText="1"/>
    </xf>
    <xf borderId="4" fillId="0" fontId="3" numFmtId="167" xfId="0" applyAlignment="1" applyBorder="1" applyFont="1" applyNumberFormat="1">
      <alignment horizontal="center" readingOrder="0" vertical="center"/>
    </xf>
    <xf borderId="2" fillId="0" fontId="3" numFmtId="165" xfId="0" applyAlignment="1" applyBorder="1" applyFont="1" applyNumberFormat="1">
      <alignment horizontal="center" vertical="bottom"/>
    </xf>
    <xf borderId="0" fillId="9" fontId="3" numFmtId="1" xfId="0" applyAlignment="1" applyFont="1" applyNumberFormat="1">
      <alignment horizontal="center" readingOrder="0" vertical="center"/>
    </xf>
    <xf borderId="0" fillId="9" fontId="3" numFmtId="164" xfId="0" applyAlignment="1" applyFont="1" applyNumberFormat="1">
      <alignment horizontal="center" readingOrder="0" shrinkToFit="0" vertical="center" wrapText="1"/>
    </xf>
    <xf borderId="4" fillId="0" fontId="3" numFmtId="0" xfId="0" applyAlignment="1" applyBorder="1" applyFont="1">
      <alignment horizontal="center" shrinkToFit="0" vertical="center" wrapText="1"/>
    </xf>
    <xf borderId="0" fillId="0" fontId="3" numFmtId="0" xfId="0" applyAlignment="1" applyFont="1">
      <alignment horizontal="left" shrinkToFit="0" vertical="center" wrapText="1"/>
    </xf>
    <xf borderId="2" fillId="0" fontId="3" numFmtId="0" xfId="0" applyAlignment="1" applyBorder="1" applyFont="1">
      <alignment horizontal="center" readingOrder="0" vertical="center"/>
    </xf>
    <xf borderId="4" fillId="10" fontId="3" numFmtId="165" xfId="0" applyAlignment="1" applyBorder="1" applyFill="1" applyFont="1" applyNumberFormat="1">
      <alignment horizontal="center" readingOrder="0" vertical="center"/>
    </xf>
    <xf borderId="2" fillId="0" fontId="3" numFmtId="0" xfId="0" applyAlignment="1" applyBorder="1" applyFont="1">
      <alignment horizontal="center" shrinkToFit="0" vertical="center" wrapText="1"/>
    </xf>
    <xf borderId="14" fillId="0" fontId="3" numFmtId="0" xfId="0" applyAlignment="1" applyBorder="1" applyFont="1">
      <alignment horizontal="center" shrinkToFit="0" vertical="center" wrapText="1"/>
    </xf>
    <xf borderId="0" fillId="11" fontId="14" numFmtId="0" xfId="0" applyAlignment="1" applyFill="1" applyFont="1">
      <alignment readingOrder="0"/>
    </xf>
    <xf borderId="2" fillId="0" fontId="10" numFmtId="0" xfId="0" applyAlignment="1" applyBorder="1" applyFont="1">
      <alignment horizontal="center" readingOrder="0" vertical="center"/>
    </xf>
    <xf borderId="2" fillId="0" fontId="3" numFmtId="0" xfId="0" applyAlignment="1" applyBorder="1" applyFont="1">
      <alignment horizontal="center" vertical="center"/>
    </xf>
    <xf borderId="2" fillId="0" fontId="10" numFmtId="0" xfId="0" applyAlignment="1" applyBorder="1" applyFont="1">
      <alignment horizontal="center" shrinkToFit="0" vertical="center" wrapText="1"/>
    </xf>
    <xf borderId="0" fillId="10" fontId="3" numFmtId="0" xfId="0" applyAlignment="1" applyFont="1">
      <alignment horizontal="center" readingOrder="0" shrinkToFit="0" vertical="center" wrapText="1"/>
    </xf>
    <xf borderId="2" fillId="0" fontId="3" numFmtId="170" xfId="0" applyAlignment="1" applyBorder="1" applyFont="1" applyNumberFormat="1">
      <alignment horizontal="center" readingOrder="0" vertical="center"/>
    </xf>
    <xf borderId="0" fillId="8" fontId="3" numFmtId="0" xfId="0" applyAlignment="1" applyFont="1">
      <alignment horizontal="left"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shrinkToFit="0" vertical="center" wrapText="1"/>
    </xf>
    <xf borderId="0" fillId="8" fontId="3" numFmtId="0" xfId="0" applyAlignment="1" applyFont="1">
      <alignment horizontal="center" shrinkToFit="0" vertical="center" wrapText="1"/>
    </xf>
    <xf borderId="2" fillId="8" fontId="3" numFmtId="0" xfId="0" applyAlignment="1" applyBorder="1" applyFont="1">
      <alignment horizontal="center" readingOrder="0" vertical="center"/>
    </xf>
    <xf borderId="4" fillId="8" fontId="3" numFmtId="167" xfId="0" applyAlignment="1" applyBorder="1" applyFont="1" applyNumberFormat="1">
      <alignment horizontal="center" readingOrder="0" vertical="center"/>
    </xf>
    <xf borderId="4" fillId="8" fontId="3" numFmtId="0" xfId="0" applyAlignment="1" applyBorder="1" applyFont="1">
      <alignment horizontal="center" readingOrder="0" shrinkToFit="0" vertical="center" wrapText="1"/>
    </xf>
    <xf borderId="0" fillId="6" fontId="10" numFmtId="0" xfId="0" applyAlignment="1" applyFont="1">
      <alignment horizontal="center" readingOrder="0" vertical="bottom"/>
    </xf>
    <xf borderId="0" fillId="6" fontId="10" numFmtId="0" xfId="0" applyAlignment="1" applyFont="1">
      <alignment horizontal="center" vertical="center"/>
    </xf>
    <xf borderId="0" fillId="6" fontId="10" numFmtId="0" xfId="0" applyAlignment="1" applyFont="1">
      <alignment horizontal="center" readingOrder="0" vertical="center"/>
    </xf>
    <xf borderId="0" fillId="6" fontId="10" numFmtId="1" xfId="0" applyAlignment="1" applyFont="1" applyNumberFormat="1">
      <alignment horizontal="center" readingOrder="0" vertical="center"/>
    </xf>
    <xf borderId="0" fillId="6" fontId="10" numFmtId="164" xfId="0" applyAlignment="1" applyFont="1" applyNumberFormat="1">
      <alignment horizontal="center" readingOrder="0" shrinkToFit="0" vertical="center" wrapText="1"/>
    </xf>
    <xf borderId="0" fillId="6" fontId="10" numFmtId="0" xfId="0" applyAlignment="1" applyFont="1">
      <alignment horizontal="center" shrinkToFit="0" vertical="center" wrapText="1"/>
    </xf>
    <xf borderId="2" fillId="6" fontId="10" numFmtId="0" xfId="0" applyAlignment="1" applyBorder="1" applyFont="1">
      <alignment horizontal="center" readingOrder="0" vertical="center"/>
    </xf>
    <xf borderId="2" fillId="6" fontId="10" numFmtId="0" xfId="0" applyAlignment="1" applyBorder="1" applyFont="1">
      <alignment horizontal="center" readingOrder="0" shrinkToFit="0" vertical="center" wrapText="1"/>
    </xf>
    <xf borderId="14" fillId="6" fontId="10" numFmtId="0" xfId="0" applyAlignment="1" applyBorder="1" applyFont="1">
      <alignment horizontal="center" readingOrder="0" shrinkToFit="0" vertical="center" wrapText="1"/>
    </xf>
    <xf borderId="0" fillId="0" fontId="15" numFmtId="0" xfId="0" applyAlignment="1" applyFont="1">
      <alignment readingOrder="0"/>
    </xf>
    <xf borderId="0" fillId="0" fontId="10" numFmtId="0" xfId="0" applyAlignment="1" applyFont="1">
      <alignment readingOrder="0"/>
    </xf>
    <xf borderId="0" fillId="0" fontId="16" numFmtId="0" xfId="0" applyAlignment="1" applyFont="1">
      <alignment readingOrder="0" vertical="top"/>
    </xf>
    <xf borderId="0" fillId="11" fontId="17" numFmtId="0" xfId="0" applyFont="1"/>
    <xf borderId="4" fillId="0" fontId="3" numFmtId="167" xfId="0" applyAlignment="1" applyBorder="1" applyFont="1" applyNumberFormat="1">
      <alignment horizontal="center" vertical="center"/>
    </xf>
    <xf borderId="4" fillId="0" fontId="3" numFmtId="170" xfId="0" applyAlignment="1" applyBorder="1" applyFont="1" applyNumberFormat="1">
      <alignment horizontal="center" readingOrder="0" vertical="center"/>
    </xf>
    <xf borderId="0" fillId="8" fontId="6" numFmtId="0" xfId="0" applyFont="1"/>
    <xf borderId="2" fillId="0" fontId="10" numFmtId="0" xfId="0" applyAlignment="1" applyBorder="1" applyFont="1">
      <alignment horizontal="center" vertical="center"/>
    </xf>
    <xf borderId="4" fillId="0" fontId="3" numFmtId="0" xfId="0" applyAlignment="1" applyBorder="1" applyFont="1">
      <alignment horizontal="center" readingOrder="0" vertical="center"/>
    </xf>
    <xf borderId="4" fillId="0" fontId="3" numFmtId="165" xfId="0" applyAlignment="1" applyBorder="1" applyFont="1" applyNumberFormat="1">
      <alignment horizontal="center" vertical="center"/>
    </xf>
    <xf quotePrefix="1" borderId="0" fillId="0" fontId="3" numFmtId="0" xfId="0" applyAlignment="1" applyFont="1">
      <alignment horizontal="center" readingOrder="0" shrinkToFit="0" vertical="center" wrapText="1"/>
    </xf>
    <xf borderId="0" fillId="12" fontId="10" numFmtId="0" xfId="0" applyAlignment="1" applyFill="1" applyFont="1">
      <alignment horizontal="center" readingOrder="0" shrinkToFit="0" vertical="center" wrapText="1"/>
    </xf>
    <xf borderId="14" fillId="0" fontId="18" numFmtId="0" xfId="0" applyAlignment="1" applyBorder="1" applyFont="1">
      <alignment horizontal="center" readingOrder="0" shrinkToFit="0" vertical="center" wrapText="1"/>
    </xf>
    <xf borderId="4" fillId="10" fontId="3" numFmtId="167" xfId="0" applyAlignment="1" applyBorder="1" applyFont="1" applyNumberFormat="1">
      <alignment horizontal="center" readingOrder="0" vertical="center"/>
    </xf>
    <xf quotePrefix="1" borderId="0" fillId="0" fontId="3" numFmtId="49" xfId="0" applyAlignment="1" applyFont="1" applyNumberFormat="1">
      <alignment horizontal="center" readingOrder="0" vertical="center"/>
    </xf>
    <xf borderId="0" fillId="10" fontId="3" numFmtId="167" xfId="0" applyAlignment="1" applyFont="1" applyNumberFormat="1">
      <alignment horizontal="center" readingOrder="0" shrinkToFit="0" vertical="center" wrapText="1"/>
    </xf>
    <xf quotePrefix="1" borderId="0" fillId="0" fontId="10" numFmtId="0" xfId="0" applyAlignment="1" applyFont="1">
      <alignment horizontal="center" readingOrder="0" vertical="center"/>
    </xf>
    <xf borderId="0" fillId="13" fontId="10" numFmtId="0" xfId="0" applyAlignment="1" applyFill="1" applyFont="1">
      <alignment horizontal="center" readingOrder="0" shrinkToFit="0" vertical="center" wrapText="1"/>
    </xf>
    <xf borderId="0" fillId="11" fontId="19" numFmtId="0" xfId="0" applyAlignment="1" applyFont="1">
      <alignment readingOrder="0"/>
    </xf>
    <xf borderId="0" fillId="0" fontId="13" numFmtId="0" xfId="0" applyAlignment="1" applyFont="1">
      <alignment horizontal="left" readingOrder="0" shrinkToFit="0" vertical="center" wrapText="1"/>
    </xf>
    <xf borderId="0" fillId="0" fontId="3" numFmtId="3" xfId="0" applyAlignment="1" applyFont="1" applyNumberFormat="1">
      <alignment horizontal="center" vertical="center"/>
    </xf>
    <xf borderId="2" fillId="0" fontId="3" numFmtId="171" xfId="0" applyAlignment="1" applyBorder="1" applyFont="1" applyNumberFormat="1">
      <alignment horizontal="center" readingOrder="0" vertical="center"/>
    </xf>
    <xf borderId="0" fillId="8" fontId="3" numFmtId="0" xfId="0" applyAlignment="1" applyFont="1">
      <alignment horizontal="center" readingOrder="0" shrinkToFit="0" vertical="center" wrapText="1"/>
    </xf>
    <xf borderId="14" fillId="0" fontId="10" numFmtId="14"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0" fillId="0" fontId="10" numFmtId="167" xfId="0" applyAlignment="1" applyFont="1" applyNumberFormat="1">
      <alignment horizontal="center" readingOrder="0" vertical="center"/>
    </xf>
    <xf borderId="0" fillId="0" fontId="13" numFmtId="0" xfId="0" applyAlignment="1" applyFont="1">
      <alignment horizontal="center" readingOrder="0" shrinkToFit="0" vertical="center" wrapText="1"/>
    </xf>
    <xf borderId="2" fillId="0" fontId="10" numFmtId="167" xfId="0" applyAlignment="1" applyBorder="1" applyFont="1" applyNumberFormat="1">
      <alignment horizontal="center" readingOrder="0" vertical="center"/>
    </xf>
    <xf borderId="0" fillId="0" fontId="3" numFmtId="165" xfId="0" applyAlignment="1" applyFont="1" applyNumberFormat="1">
      <alignment horizontal="center" readingOrder="0" vertical="center"/>
    </xf>
    <xf borderId="0" fillId="0" fontId="3" numFmtId="0" xfId="0" applyAlignment="1" applyFont="1">
      <alignment horizontal="center" readingOrder="0" shrinkToFit="0" vertical="center" wrapText="1"/>
    </xf>
    <xf borderId="0" fillId="0" fontId="10" numFmtId="165" xfId="0" applyAlignment="1" applyFont="1" applyNumberFormat="1">
      <alignment horizontal="center" readingOrder="0" vertical="center"/>
    </xf>
    <xf borderId="2" fillId="0" fontId="10" numFmtId="165" xfId="0" applyAlignment="1" applyBorder="1" applyFont="1" applyNumberFormat="1">
      <alignment horizontal="center" readingOrder="0" vertical="center"/>
    </xf>
    <xf borderId="0" fillId="0" fontId="20" numFmtId="0" xfId="0" applyAlignment="1" applyFont="1">
      <alignment horizontal="left" readingOrder="0" shrinkToFit="0" vertical="center" wrapText="1"/>
    </xf>
    <xf borderId="0" fillId="0" fontId="21" numFmtId="0" xfId="0" applyAlignment="1" applyFont="1">
      <alignment horizontal="center" readingOrder="0" shrinkToFit="0" vertical="center" wrapText="1"/>
    </xf>
    <xf borderId="0" fillId="2" fontId="20" numFmtId="0" xfId="0" applyAlignment="1" applyFont="1">
      <alignment horizontal="left" readingOrder="0" shrinkToFit="0" vertical="center" wrapText="1"/>
    </xf>
    <xf borderId="2" fillId="0" fontId="10" numFmtId="170" xfId="0" applyAlignment="1" applyBorder="1" applyFont="1" applyNumberFormat="1">
      <alignment horizontal="center" readingOrder="0" vertical="center"/>
    </xf>
    <xf borderId="2" fillId="2" fontId="3" numFmtId="0" xfId="0" applyAlignment="1" applyBorder="1" applyFont="1">
      <alignment horizontal="center" vertical="center"/>
    </xf>
    <xf borderId="4" fillId="2" fontId="3" numFmtId="4" xfId="0" applyAlignment="1" applyBorder="1" applyFont="1" applyNumberFormat="1">
      <alignment horizontal="center" vertical="center"/>
    </xf>
    <xf borderId="0" fillId="2" fontId="3" numFmtId="0" xfId="0" applyAlignment="1" applyFont="1">
      <alignment horizontal="center" vertical="center"/>
    </xf>
    <xf borderId="4" fillId="2" fontId="3" numFmtId="0" xfId="0" applyAlignment="1" applyBorder="1" applyFont="1">
      <alignment horizontal="center" vertical="center"/>
    </xf>
    <xf borderId="4" fillId="2" fontId="3" numFmtId="0" xfId="0" applyAlignment="1" applyBorder="1" applyFont="1">
      <alignment horizontal="center" shrinkToFit="0" vertical="center" wrapText="1"/>
    </xf>
    <xf borderId="14" fillId="2" fontId="3" numFmtId="167" xfId="0" applyAlignment="1" applyBorder="1" applyFont="1" applyNumberFormat="1">
      <alignment horizontal="center" readingOrder="0" shrinkToFit="0" vertical="center" wrapText="1"/>
    </xf>
    <xf borderId="0" fillId="2" fontId="3" numFmtId="167" xfId="0" applyAlignment="1" applyFont="1" applyNumberFormat="1">
      <alignment horizontal="center" readingOrder="0" shrinkToFit="0" vertical="center" wrapText="1"/>
    </xf>
    <xf borderId="0" fillId="0" fontId="3" numFmtId="4" xfId="0" applyAlignment="1" applyFont="1" applyNumberFormat="1">
      <alignment horizontal="center" vertical="center"/>
    </xf>
    <xf borderId="0" fillId="0" fontId="3" numFmtId="167" xfId="0" applyAlignment="1" applyFont="1" applyNumberFormat="1">
      <alignment horizontal="center" readingOrder="0" shrinkToFit="0" vertical="center" wrapText="1"/>
    </xf>
    <xf borderId="0" fillId="0" fontId="10" numFmtId="3" xfId="0" applyAlignment="1" applyFont="1" applyNumberFormat="1">
      <alignment horizontal="center" readingOrder="0" vertical="center"/>
    </xf>
    <xf borderId="0" fillId="0" fontId="3" numFmtId="3" xfId="0" applyAlignment="1" applyFont="1" applyNumberFormat="1">
      <alignment horizontal="center" readingOrder="0" vertical="center"/>
    </xf>
    <xf borderId="2" fillId="0" fontId="3" numFmtId="169" xfId="0" applyAlignment="1" applyBorder="1" applyFont="1" applyNumberFormat="1">
      <alignment horizontal="center" readingOrder="0" vertical="center"/>
    </xf>
    <xf borderId="2" fillId="0" fontId="3" numFmtId="172" xfId="0" applyAlignment="1" applyBorder="1" applyFont="1" applyNumberFormat="1">
      <alignment horizontal="center" readingOrder="0" vertical="center"/>
    </xf>
    <xf borderId="2" fillId="0" fontId="3" numFmtId="173" xfId="0" applyAlignment="1" applyBorder="1" applyFont="1" applyNumberFormat="1">
      <alignment horizontal="center" readingOrder="0" vertical="center"/>
    </xf>
    <xf borderId="0" fillId="0" fontId="22" numFmtId="3" xfId="0" applyAlignment="1" applyFont="1" applyNumberFormat="1">
      <alignment horizontal="center" readingOrder="0" vertical="center"/>
    </xf>
    <xf borderId="0" fillId="2" fontId="23" numFmtId="0" xfId="0" applyAlignment="1" applyFont="1">
      <alignment horizontal="left" readingOrder="0" shrinkToFit="0" vertical="center" wrapText="0"/>
    </xf>
    <xf borderId="0" fillId="2" fontId="24" numFmtId="3" xfId="0" applyAlignment="1" applyFont="1" applyNumberFormat="1">
      <alignment horizontal="center" readingOrder="0" vertical="center"/>
    </xf>
    <xf borderId="0" fillId="2" fontId="24" numFmtId="164" xfId="0" applyAlignment="1" applyFont="1" applyNumberFormat="1">
      <alignment horizontal="center" readingOrder="0" shrinkToFit="0" vertical="center" wrapText="1"/>
    </xf>
    <xf borderId="0" fillId="2" fontId="24" numFmtId="0" xfId="0" applyAlignment="1" applyFont="1">
      <alignment horizontal="center" shrinkToFit="0" vertical="center" wrapText="1"/>
    </xf>
    <xf borderId="2" fillId="2" fontId="24" numFmtId="165" xfId="0" applyAlignment="1" applyBorder="1" applyFont="1" applyNumberFormat="1">
      <alignment horizontal="center" readingOrder="0" vertical="center"/>
    </xf>
    <xf borderId="2" fillId="2" fontId="24" numFmtId="0" xfId="0" applyAlignment="1" applyBorder="1" applyFont="1">
      <alignment horizontal="center" readingOrder="0" shrinkToFit="0" vertical="center" wrapText="1"/>
    </xf>
    <xf borderId="14" fillId="2" fontId="24" numFmtId="167" xfId="0" applyAlignment="1" applyBorder="1" applyFont="1" applyNumberFormat="1">
      <alignment horizontal="center" readingOrder="0" shrinkToFit="0" vertical="center" wrapText="1"/>
    </xf>
    <xf borderId="0" fillId="2" fontId="24" numFmtId="167" xfId="0" applyAlignment="1" applyFont="1" applyNumberFormat="1">
      <alignment horizontal="center" readingOrder="0" shrinkToFit="0" vertical="center" wrapText="1"/>
    </xf>
    <xf borderId="0" fillId="0" fontId="21" numFmtId="3" xfId="0" applyAlignment="1" applyFont="1" applyNumberFormat="1">
      <alignment horizontal="center" readingOrder="0" vertical="center"/>
    </xf>
    <xf borderId="0" fillId="0" fontId="21" numFmtId="164" xfId="0" applyAlignment="1" applyFont="1" applyNumberFormat="1">
      <alignment horizontal="center" readingOrder="0" shrinkToFit="0" vertical="center" wrapText="1"/>
    </xf>
    <xf borderId="1" fillId="0" fontId="8" numFmtId="0" xfId="0" applyAlignment="1" applyBorder="1" applyFont="1">
      <alignment horizontal="left"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2" fillId="2" fontId="3" numFmtId="167" xfId="0" applyAlignment="1" applyBorder="1" applyFont="1" applyNumberFormat="1">
      <alignment horizontal="center" readingOrder="0" vertical="center"/>
    </xf>
    <xf borderId="2" fillId="2" fontId="3" numFmtId="0" xfId="0" applyAlignment="1" applyBorder="1" applyFont="1">
      <alignment horizontal="center" readingOrder="0" shrinkToFit="0" vertical="center" wrapText="1"/>
    </xf>
    <xf borderId="14" fillId="2" fontId="3" numFmtId="0" xfId="0" applyAlignment="1" applyBorder="1" applyFont="1">
      <alignment horizontal="center" shrinkToFit="0" vertical="center" wrapText="1"/>
    </xf>
  </cellXfs>
  <cellStyles count="1">
    <cellStyle xfId="0" name="Normal" builtinId="0"/>
  </cellStyles>
  <dxfs count="7">
    <dxf>
      <font/>
      <fill>
        <patternFill patternType="solid">
          <fgColor rgb="FF00FF00"/>
          <bgColor rgb="FF00FF00"/>
        </patternFill>
      </fill>
      <border/>
    </dxf>
    <dxf>
      <font>
        <color rgb="FF00FF00"/>
      </font>
      <fill>
        <patternFill patternType="none"/>
      </fill>
      <border/>
    </dxf>
    <dxf>
      <font>
        <color rgb="FFFF0000"/>
      </font>
      <fill>
        <patternFill patternType="none"/>
      </fill>
      <border/>
    </dxf>
    <dxf>
      <font/>
      <fill>
        <patternFill patternType="solid">
          <fgColor rgb="FFF4C7C3"/>
          <bgColor rgb="FFF4C7C3"/>
        </patternFill>
      </fill>
      <border/>
    </dxf>
    <dxf>
      <font/>
      <fill>
        <patternFill patternType="solid">
          <fgColor rgb="FFB7E1CD"/>
          <bgColor rgb="FFB7E1CD"/>
        </patternFill>
      </fill>
      <border/>
    </dxf>
    <dxf>
      <font/>
      <fill>
        <patternFill patternType="solid">
          <fgColor rgb="FFFF0000"/>
          <bgColor rgb="FFFF0000"/>
        </patternFill>
      </fill>
      <border/>
    </dxf>
    <dxf>
      <font/>
      <fill>
        <patternFill patternType="solid">
          <fgColor rgb="FFCC0000"/>
          <bgColor rgb="FFCC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ASA JULIAN | RESERVAS" id="{03ddc978-a934-4058-8801-8c98344221d3}"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85" dT="2025-12-20T09:55:05.00" personId="{03ddc978-a934-4058-8801-8c98344221d3}" id="{65222bac-531f-4fcf-8428-d9df10011c82}" done="1">
    <x18tc:text xml:space="preserve">Puede que haya 2 OTs rulando con el mismo número 1109. Una se le hizo a Pedro Mari pero finalmente se le cambió el código a PM0001. Comprobar remitente.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2.5"/>
    <col customWidth="1" min="2" max="2" width="25.0"/>
    <col customWidth="1" min="3" max="3" width="29.63"/>
    <col customWidth="1" min="4" max="4" width="15.0"/>
    <col customWidth="1" min="5" max="5" width="6.25"/>
    <col customWidth="1" min="6" max="6" width="9.63"/>
    <col customWidth="1" min="7" max="7" width="44.0"/>
    <col customWidth="1" min="8" max="8" width="6.75"/>
    <col customWidth="1" min="9" max="9" width="7.75"/>
    <col customWidth="1" min="10" max="10" width="5.13"/>
    <col customWidth="1" min="11" max="11" width="7.75"/>
    <col customWidth="1" min="12" max="12" width="5.25"/>
    <col customWidth="1" min="13" max="13" width="9.63"/>
    <col customWidth="1" min="14" max="14" width="7.0"/>
  </cols>
  <sheetData>
    <row r="1">
      <c r="A1" s="1"/>
      <c r="B1" s="2" t="s">
        <v>0</v>
      </c>
      <c r="D1" s="4"/>
      <c r="E1" s="5"/>
      <c r="F1" s="7"/>
      <c r="G1" s="7"/>
      <c r="H1" s="9" t="s">
        <v>2</v>
      </c>
      <c r="I1" s="11"/>
      <c r="J1" s="11"/>
      <c r="K1" s="11"/>
      <c r="L1" s="11"/>
      <c r="M1" s="16"/>
      <c r="N1" s="20"/>
    </row>
    <row r="2" ht="51.0" customHeight="1">
      <c r="A2" s="2" t="s">
        <v>4</v>
      </c>
      <c r="B2" s="2" t="s">
        <v>5</v>
      </c>
      <c r="C2" s="2" t="s">
        <v>6</v>
      </c>
      <c r="D2" s="2" t="s">
        <v>13</v>
      </c>
      <c r="E2" s="24" t="s">
        <v>15</v>
      </c>
      <c r="F2" s="18" t="s">
        <v>9</v>
      </c>
      <c r="G2" s="2" t="s">
        <v>10</v>
      </c>
      <c r="H2" s="27" t="s">
        <v>21</v>
      </c>
      <c r="I2" s="30" t="s">
        <v>22</v>
      </c>
      <c r="J2" s="27" t="s">
        <v>26</v>
      </c>
      <c r="K2" s="34" t="s">
        <v>22</v>
      </c>
      <c r="L2" s="39" t="s">
        <v>17</v>
      </c>
      <c r="M2" s="39" t="s">
        <v>18</v>
      </c>
      <c r="N2" s="43" t="s">
        <v>19</v>
      </c>
    </row>
    <row r="3">
      <c r="A3" s="45">
        <v>1.0</v>
      </c>
      <c r="B3" s="49" t="s">
        <v>31</v>
      </c>
      <c r="C3" s="51"/>
      <c r="D3" s="49" t="s">
        <v>33</v>
      </c>
      <c r="E3" s="52" t="s">
        <v>35</v>
      </c>
      <c r="F3" s="53">
        <v>200.0</v>
      </c>
      <c r="G3" s="42"/>
      <c r="H3" s="56" t="b">
        <v>1</v>
      </c>
      <c r="I3" s="57"/>
      <c r="J3" s="47" t="b">
        <v>0</v>
      </c>
      <c r="K3" s="59"/>
      <c r="L3" s="61" t="b">
        <v>1</v>
      </c>
      <c r="M3" s="65" t="str">
        <f t="shared" ref="M3:M206" si="1">IF(I3="","",EDATE(I3,6))</f>
        <v/>
      </c>
      <c r="N3" s="54" t="s">
        <v>36</v>
      </c>
    </row>
    <row r="4">
      <c r="A4" s="45">
        <v>2.0</v>
      </c>
      <c r="B4" s="49" t="s">
        <v>46</v>
      </c>
      <c r="C4" s="51"/>
      <c r="D4" s="49"/>
      <c r="E4" s="52" t="s">
        <v>35</v>
      </c>
      <c r="F4" s="53">
        <v>150.0</v>
      </c>
      <c r="G4" s="42"/>
      <c r="H4" s="56" t="b">
        <v>1</v>
      </c>
      <c r="I4" s="67"/>
      <c r="J4" s="47" t="b">
        <v>0</v>
      </c>
      <c r="K4" s="59"/>
      <c r="L4" s="61" t="b">
        <v>1</v>
      </c>
      <c r="M4" s="65" t="str">
        <f t="shared" si="1"/>
        <v/>
      </c>
      <c r="N4" s="54" t="s">
        <v>36</v>
      </c>
    </row>
    <row r="5">
      <c r="A5" s="45">
        <v>3.0</v>
      </c>
      <c r="B5" s="49" t="s">
        <v>49</v>
      </c>
      <c r="C5" s="51"/>
      <c r="D5" s="49" t="s">
        <v>50</v>
      </c>
      <c r="E5" s="52" t="s">
        <v>35</v>
      </c>
      <c r="F5" s="53">
        <v>200.0</v>
      </c>
      <c r="G5" s="42"/>
      <c r="H5" s="56" t="b">
        <v>1</v>
      </c>
      <c r="I5" s="67"/>
      <c r="J5" s="47" t="b">
        <v>0</v>
      </c>
      <c r="K5" s="59"/>
      <c r="L5" s="61" t="b">
        <v>1</v>
      </c>
      <c r="M5" s="65" t="str">
        <f t="shared" si="1"/>
        <v/>
      </c>
      <c r="N5" s="54" t="s">
        <v>36</v>
      </c>
    </row>
    <row r="6">
      <c r="A6" s="45">
        <v>4.0</v>
      </c>
      <c r="B6" s="49" t="s">
        <v>54</v>
      </c>
      <c r="C6" s="51"/>
      <c r="D6" s="49" t="s">
        <v>55</v>
      </c>
      <c r="E6" s="52" t="s">
        <v>35</v>
      </c>
      <c r="F6" s="53">
        <v>200.0</v>
      </c>
      <c r="G6" s="42"/>
      <c r="H6" s="56" t="b">
        <v>1</v>
      </c>
      <c r="I6" s="67"/>
      <c r="J6" s="47" t="b">
        <v>0</v>
      </c>
      <c r="K6" s="59"/>
      <c r="L6" s="61" t="b">
        <v>0</v>
      </c>
      <c r="M6" s="65" t="str">
        <f t="shared" si="1"/>
        <v/>
      </c>
      <c r="N6" s="54" t="s">
        <v>36</v>
      </c>
    </row>
    <row r="7">
      <c r="A7" s="45">
        <v>5.0</v>
      </c>
      <c r="B7" s="49" t="s">
        <v>58</v>
      </c>
      <c r="C7" s="51"/>
      <c r="D7" s="49" t="s">
        <v>60</v>
      </c>
      <c r="E7" s="52" t="s">
        <v>35</v>
      </c>
      <c r="F7" s="53">
        <v>200.0</v>
      </c>
      <c r="G7" s="42"/>
      <c r="H7" s="56" t="b">
        <v>1</v>
      </c>
      <c r="I7" s="68"/>
      <c r="J7" s="47" t="b">
        <v>0</v>
      </c>
      <c r="K7" s="59"/>
      <c r="L7" s="61" t="b">
        <v>1</v>
      </c>
      <c r="M7" s="65" t="str">
        <f t="shared" si="1"/>
        <v/>
      </c>
      <c r="N7" s="54" t="s">
        <v>36</v>
      </c>
    </row>
    <row r="8">
      <c r="A8" s="45">
        <v>6.0</v>
      </c>
      <c r="B8" s="49" t="s">
        <v>63</v>
      </c>
      <c r="C8" s="51"/>
      <c r="D8" s="49" t="s">
        <v>65</v>
      </c>
      <c r="E8" s="52" t="s">
        <v>35</v>
      </c>
      <c r="F8" s="53">
        <v>200.0</v>
      </c>
      <c r="G8" s="42"/>
      <c r="H8" s="56" t="b">
        <v>1</v>
      </c>
      <c r="I8" s="69"/>
      <c r="J8" s="47" t="b">
        <v>0</v>
      </c>
      <c r="K8" s="59"/>
      <c r="L8" s="61" t="b">
        <v>1</v>
      </c>
      <c r="M8" s="65" t="str">
        <f t="shared" si="1"/>
        <v/>
      </c>
      <c r="N8" s="54" t="s">
        <v>36</v>
      </c>
    </row>
    <row r="9">
      <c r="A9" s="45">
        <v>7.0</v>
      </c>
      <c r="B9" s="49" t="s">
        <v>68</v>
      </c>
      <c r="C9" s="51"/>
      <c r="D9" s="49"/>
      <c r="E9" s="52" t="s">
        <v>35</v>
      </c>
      <c r="F9" s="53">
        <v>200.0</v>
      </c>
      <c r="G9" s="42"/>
      <c r="H9" s="56" t="b">
        <v>1</v>
      </c>
      <c r="I9" s="68"/>
      <c r="J9" s="47" t="b">
        <v>0</v>
      </c>
      <c r="K9" s="59"/>
      <c r="L9" s="61" t="b">
        <v>1</v>
      </c>
      <c r="M9" s="65" t="str">
        <f t="shared" si="1"/>
        <v/>
      </c>
      <c r="N9" s="54" t="s">
        <v>36</v>
      </c>
    </row>
    <row r="10">
      <c r="A10" s="45">
        <v>8.0</v>
      </c>
      <c r="B10" s="49" t="s">
        <v>71</v>
      </c>
      <c r="C10" s="51"/>
      <c r="D10" s="49"/>
      <c r="E10" s="52" t="s">
        <v>35</v>
      </c>
      <c r="F10" s="53">
        <v>180.0</v>
      </c>
      <c r="G10" s="42"/>
      <c r="H10" s="56" t="b">
        <v>1</v>
      </c>
      <c r="I10" s="70"/>
      <c r="J10" s="47" t="b">
        <v>0</v>
      </c>
      <c r="K10" s="59"/>
      <c r="L10" s="61" t="b">
        <v>1</v>
      </c>
      <c r="M10" s="65" t="str">
        <f t="shared" si="1"/>
        <v/>
      </c>
      <c r="N10" s="54" t="s">
        <v>36</v>
      </c>
    </row>
    <row r="11">
      <c r="A11" s="45">
        <v>9.0</v>
      </c>
      <c r="B11" s="49" t="s">
        <v>75</v>
      </c>
      <c r="C11" s="51"/>
      <c r="D11" s="49"/>
      <c r="E11" s="52" t="s">
        <v>76</v>
      </c>
      <c r="F11" s="53">
        <v>120.0</v>
      </c>
      <c r="G11" s="42" t="s">
        <v>77</v>
      </c>
      <c r="H11" s="56" t="b">
        <v>0</v>
      </c>
      <c r="I11" s="67"/>
      <c r="J11" s="51" t="b">
        <v>0</v>
      </c>
      <c r="K11" s="59"/>
      <c r="L11" s="61" t="b">
        <v>0</v>
      </c>
      <c r="M11" s="65" t="str">
        <f t="shared" si="1"/>
        <v/>
      </c>
      <c r="N11" s="54" t="s">
        <v>36</v>
      </c>
    </row>
    <row r="12">
      <c r="A12" s="45">
        <v>10.0</v>
      </c>
      <c r="B12" s="49" t="s">
        <v>75</v>
      </c>
      <c r="C12" s="51"/>
      <c r="D12" s="49"/>
      <c r="E12" s="52" t="s">
        <v>80</v>
      </c>
      <c r="F12" s="53">
        <v>120.0</v>
      </c>
      <c r="G12" s="42" t="s">
        <v>77</v>
      </c>
      <c r="H12" s="56" t="b">
        <v>0</v>
      </c>
      <c r="I12" s="67"/>
      <c r="J12" s="51" t="b">
        <v>0</v>
      </c>
      <c r="K12" s="59"/>
      <c r="L12" s="61" t="b">
        <v>0</v>
      </c>
      <c r="M12" s="65" t="str">
        <f t="shared" si="1"/>
        <v/>
      </c>
      <c r="N12" s="54" t="s">
        <v>36</v>
      </c>
    </row>
    <row r="13">
      <c r="A13" s="45">
        <v>11.0</v>
      </c>
      <c r="B13" s="49" t="s">
        <v>81</v>
      </c>
      <c r="C13" s="47">
        <v>6.88683791E8</v>
      </c>
      <c r="D13" s="49" t="s">
        <v>83</v>
      </c>
      <c r="E13" s="52"/>
      <c r="F13" s="53">
        <v>200.0</v>
      </c>
      <c r="G13" s="42"/>
      <c r="H13" s="56" t="b">
        <v>1</v>
      </c>
      <c r="I13" s="70"/>
      <c r="J13" s="47" t="b">
        <v>0</v>
      </c>
      <c r="K13" s="59"/>
      <c r="L13" s="61" t="b">
        <v>1</v>
      </c>
      <c r="M13" s="65" t="str">
        <f t="shared" si="1"/>
        <v/>
      </c>
      <c r="N13" s="54" t="s">
        <v>36</v>
      </c>
    </row>
    <row r="14">
      <c r="A14" s="45">
        <v>12.0</v>
      </c>
      <c r="B14" s="49" t="s">
        <v>86</v>
      </c>
      <c r="C14" s="47">
        <v>6.8575501E8</v>
      </c>
      <c r="D14" s="49"/>
      <c r="E14" s="52" t="s">
        <v>88</v>
      </c>
      <c r="F14" s="53">
        <v>200.0</v>
      </c>
      <c r="G14" s="42"/>
      <c r="H14" s="56" t="b">
        <v>1</v>
      </c>
      <c r="I14" s="67"/>
      <c r="J14" s="47" t="b">
        <v>0</v>
      </c>
      <c r="K14" s="59"/>
      <c r="L14" s="61" t="b">
        <v>0</v>
      </c>
      <c r="M14" s="65" t="str">
        <f t="shared" si="1"/>
        <v/>
      </c>
      <c r="N14" s="54" t="s">
        <v>36</v>
      </c>
    </row>
    <row r="15">
      <c r="A15" s="45">
        <v>13.0</v>
      </c>
      <c r="B15" s="49" t="s">
        <v>90</v>
      </c>
      <c r="C15" s="51"/>
      <c r="D15" s="49" t="s">
        <v>91</v>
      </c>
      <c r="E15" s="52" t="s">
        <v>93</v>
      </c>
      <c r="F15" s="53">
        <v>200.0</v>
      </c>
      <c r="G15" s="42"/>
      <c r="H15" s="56" t="b">
        <v>1</v>
      </c>
      <c r="I15" s="67"/>
      <c r="J15" s="47" t="b">
        <v>0</v>
      </c>
      <c r="K15" s="59"/>
      <c r="L15" s="61" t="b">
        <v>1</v>
      </c>
      <c r="M15" s="65" t="str">
        <f t="shared" si="1"/>
        <v/>
      </c>
      <c r="N15" s="54" t="s">
        <v>36</v>
      </c>
    </row>
    <row r="16">
      <c r="A16" s="45">
        <v>14.0</v>
      </c>
      <c r="B16" s="49" t="s">
        <v>95</v>
      </c>
      <c r="C16" s="51"/>
      <c r="D16" s="49" t="s">
        <v>96</v>
      </c>
      <c r="E16" s="52" t="s">
        <v>97</v>
      </c>
      <c r="F16" s="53">
        <v>200.0</v>
      </c>
      <c r="G16" s="42"/>
      <c r="H16" s="56" t="b">
        <v>1</v>
      </c>
      <c r="I16" s="67"/>
      <c r="J16" s="47" t="b">
        <v>0</v>
      </c>
      <c r="K16" s="59"/>
      <c r="L16" s="61" t="b">
        <v>0</v>
      </c>
      <c r="M16" s="65" t="str">
        <f t="shared" si="1"/>
        <v/>
      </c>
      <c r="N16" s="54" t="s">
        <v>36</v>
      </c>
    </row>
    <row r="17">
      <c r="A17" s="45">
        <v>15.0</v>
      </c>
      <c r="B17" s="49" t="s">
        <v>100</v>
      </c>
      <c r="C17" s="51"/>
      <c r="D17" s="49" t="s">
        <v>101</v>
      </c>
      <c r="E17" s="52" t="s">
        <v>102</v>
      </c>
      <c r="F17" s="53">
        <v>200.0</v>
      </c>
      <c r="G17" s="42"/>
      <c r="H17" s="56" t="b">
        <v>1</v>
      </c>
      <c r="I17" s="67"/>
      <c r="J17" s="47" t="b">
        <v>0</v>
      </c>
      <c r="K17" s="59"/>
      <c r="L17" s="61" t="b">
        <v>1</v>
      </c>
      <c r="M17" s="65" t="str">
        <f t="shared" si="1"/>
        <v/>
      </c>
      <c r="N17" s="54" t="s">
        <v>36</v>
      </c>
    </row>
    <row r="18">
      <c r="A18" s="45">
        <v>16.0</v>
      </c>
      <c r="B18" s="49" t="s">
        <v>105</v>
      </c>
      <c r="C18" s="51"/>
      <c r="D18" s="49" t="s">
        <v>106</v>
      </c>
      <c r="E18" s="52" t="s">
        <v>97</v>
      </c>
      <c r="F18" s="53">
        <v>200.0</v>
      </c>
      <c r="G18" s="42" t="s">
        <v>107</v>
      </c>
      <c r="H18" s="56" t="b">
        <v>1</v>
      </c>
      <c r="I18" s="67"/>
      <c r="J18" s="47" t="b">
        <v>0</v>
      </c>
      <c r="K18" s="59"/>
      <c r="L18" s="61" t="b">
        <v>1</v>
      </c>
      <c r="M18" s="65" t="str">
        <f t="shared" si="1"/>
        <v/>
      </c>
      <c r="N18" s="54" t="s">
        <v>36</v>
      </c>
    </row>
    <row r="19">
      <c r="A19" s="45">
        <v>17.0</v>
      </c>
      <c r="B19" s="49" t="s">
        <v>108</v>
      </c>
      <c r="C19" s="51"/>
      <c r="D19" s="49" t="s">
        <v>111</v>
      </c>
      <c r="E19" s="52" t="s">
        <v>35</v>
      </c>
      <c r="F19" s="53">
        <v>200.0</v>
      </c>
      <c r="G19" s="42"/>
      <c r="H19" s="56" t="b">
        <v>1</v>
      </c>
      <c r="I19" s="70"/>
      <c r="J19" s="47" t="b">
        <v>0</v>
      </c>
      <c r="K19" s="59"/>
      <c r="L19" s="61" t="b">
        <v>1</v>
      </c>
      <c r="M19" s="65" t="str">
        <f t="shared" si="1"/>
        <v/>
      </c>
      <c r="N19" s="54" t="s">
        <v>36</v>
      </c>
    </row>
    <row r="20">
      <c r="A20" s="45">
        <v>18.0</v>
      </c>
      <c r="B20" s="49" t="s">
        <v>114</v>
      </c>
      <c r="C20" s="47">
        <v>6.18875737E8</v>
      </c>
      <c r="D20" s="49" t="s">
        <v>115</v>
      </c>
      <c r="E20" s="52" t="s">
        <v>116</v>
      </c>
      <c r="F20" s="53">
        <v>200.0</v>
      </c>
      <c r="G20" s="42"/>
      <c r="H20" s="56" t="b">
        <v>1</v>
      </c>
      <c r="I20" s="67"/>
      <c r="J20" s="47" t="b">
        <v>0</v>
      </c>
      <c r="K20" s="59"/>
      <c r="L20" s="61" t="b">
        <v>1</v>
      </c>
      <c r="M20" s="65" t="str">
        <f t="shared" si="1"/>
        <v/>
      </c>
      <c r="N20" s="54" t="s">
        <v>36</v>
      </c>
    </row>
    <row r="21">
      <c r="A21" s="45">
        <v>19.0</v>
      </c>
      <c r="B21" s="49" t="s">
        <v>95</v>
      </c>
      <c r="C21" s="51"/>
      <c r="D21" s="49" t="s">
        <v>120</v>
      </c>
      <c r="E21" s="52" t="s">
        <v>121</v>
      </c>
      <c r="F21" s="53">
        <v>200.0</v>
      </c>
      <c r="G21" s="42" t="s">
        <v>122</v>
      </c>
      <c r="H21" s="56" t="b">
        <v>0</v>
      </c>
      <c r="I21" s="67"/>
      <c r="J21" s="47" t="b">
        <v>0</v>
      </c>
      <c r="K21" s="59"/>
      <c r="L21" s="61" t="b">
        <v>1</v>
      </c>
      <c r="M21" s="65" t="str">
        <f t="shared" si="1"/>
        <v/>
      </c>
      <c r="N21" s="54" t="s">
        <v>36</v>
      </c>
    </row>
    <row r="22">
      <c r="A22" s="45">
        <v>20.0</v>
      </c>
      <c r="B22" s="49" t="s">
        <v>95</v>
      </c>
      <c r="C22" s="51"/>
      <c r="D22" s="49" t="s">
        <v>120</v>
      </c>
      <c r="E22" s="52" t="s">
        <v>126</v>
      </c>
      <c r="F22" s="53">
        <v>200.0</v>
      </c>
      <c r="G22" s="42" t="s">
        <v>122</v>
      </c>
      <c r="H22" s="56" t="b">
        <v>0</v>
      </c>
      <c r="I22" s="67"/>
      <c r="J22" s="47" t="b">
        <v>0</v>
      </c>
      <c r="K22" s="59"/>
      <c r="L22" s="61" t="b">
        <v>1</v>
      </c>
      <c r="M22" s="65" t="str">
        <f t="shared" si="1"/>
        <v/>
      </c>
      <c r="N22" s="54" t="s">
        <v>36</v>
      </c>
    </row>
    <row r="23">
      <c r="A23" s="45">
        <v>21.0</v>
      </c>
      <c r="B23" s="49" t="s">
        <v>95</v>
      </c>
      <c r="C23" s="51"/>
      <c r="D23" s="49" t="s">
        <v>129</v>
      </c>
      <c r="E23" s="52" t="s">
        <v>132</v>
      </c>
      <c r="F23" s="53">
        <v>200.0</v>
      </c>
      <c r="G23" s="42"/>
      <c r="H23" s="56" t="b">
        <v>1</v>
      </c>
      <c r="I23" s="73"/>
      <c r="J23" s="47" t="b">
        <v>0</v>
      </c>
      <c r="K23" s="59"/>
      <c r="L23" s="61" t="b">
        <v>1</v>
      </c>
      <c r="M23" s="65" t="str">
        <f t="shared" si="1"/>
        <v/>
      </c>
      <c r="N23" s="54" t="s">
        <v>36</v>
      </c>
    </row>
    <row r="24">
      <c r="A24" s="45">
        <v>22.0</v>
      </c>
      <c r="B24" s="49" t="s">
        <v>136</v>
      </c>
      <c r="C24" s="51"/>
      <c r="D24" s="49" t="s">
        <v>137</v>
      </c>
      <c r="E24" s="52" t="s">
        <v>138</v>
      </c>
      <c r="F24" s="53">
        <v>200.0</v>
      </c>
      <c r="G24" s="42"/>
      <c r="H24" s="56" t="b">
        <v>1</v>
      </c>
      <c r="I24" s="67"/>
      <c r="J24" s="47" t="b">
        <v>0</v>
      </c>
      <c r="K24" s="74"/>
      <c r="L24" s="61" t="b">
        <v>1</v>
      </c>
      <c r="M24" s="65" t="str">
        <f t="shared" si="1"/>
        <v/>
      </c>
      <c r="N24" s="54" t="s">
        <v>36</v>
      </c>
    </row>
    <row r="25">
      <c r="A25" s="45">
        <v>23.0</v>
      </c>
      <c r="B25" s="49" t="s">
        <v>142</v>
      </c>
      <c r="C25" s="47">
        <v>6.71071522E8</v>
      </c>
      <c r="D25" s="49" t="s">
        <v>143</v>
      </c>
      <c r="E25" s="52" t="s">
        <v>144</v>
      </c>
      <c r="F25" s="53">
        <v>200.0</v>
      </c>
      <c r="G25" s="42"/>
      <c r="H25" s="56" t="b">
        <v>1</v>
      </c>
      <c r="I25" s="67"/>
      <c r="J25" s="47" t="b">
        <v>0</v>
      </c>
      <c r="K25" s="59"/>
      <c r="L25" s="61" t="b">
        <v>1</v>
      </c>
      <c r="M25" s="65" t="str">
        <f t="shared" si="1"/>
        <v/>
      </c>
      <c r="N25" s="54" t="s">
        <v>36</v>
      </c>
    </row>
    <row r="26">
      <c r="A26" s="45">
        <v>24.0</v>
      </c>
      <c r="B26" s="49" t="s">
        <v>148</v>
      </c>
      <c r="C26" s="47">
        <v>6.71071522E8</v>
      </c>
      <c r="D26" s="49" t="s">
        <v>149</v>
      </c>
      <c r="E26" s="52" t="s">
        <v>150</v>
      </c>
      <c r="F26" s="79"/>
      <c r="G26" s="42" t="s">
        <v>153</v>
      </c>
      <c r="H26" s="56" t="b">
        <v>1</v>
      </c>
      <c r="I26" s="67"/>
      <c r="J26" s="47" t="b">
        <v>0</v>
      </c>
      <c r="K26" s="59"/>
      <c r="L26" s="61" t="b">
        <v>1</v>
      </c>
      <c r="M26" s="65" t="str">
        <f t="shared" si="1"/>
        <v/>
      </c>
      <c r="N26" s="54" t="s">
        <v>36</v>
      </c>
    </row>
    <row r="27">
      <c r="A27" s="45">
        <v>25.0</v>
      </c>
      <c r="B27" s="49" t="s">
        <v>155</v>
      </c>
      <c r="C27" s="51"/>
      <c r="D27" s="49" t="s">
        <v>156</v>
      </c>
      <c r="E27" s="52" t="s">
        <v>157</v>
      </c>
      <c r="F27" s="53">
        <v>200.0</v>
      </c>
      <c r="G27" s="42"/>
      <c r="H27" s="56" t="b">
        <v>1</v>
      </c>
      <c r="I27" s="67"/>
      <c r="J27" s="47" t="b">
        <v>0</v>
      </c>
      <c r="K27" s="59"/>
      <c r="L27" s="61" t="b">
        <v>1</v>
      </c>
      <c r="M27" s="65" t="str">
        <f t="shared" si="1"/>
        <v/>
      </c>
      <c r="N27" s="54" t="s">
        <v>36</v>
      </c>
    </row>
    <row r="28">
      <c r="A28" s="45">
        <v>26.0</v>
      </c>
      <c r="B28" s="49"/>
      <c r="C28" s="51"/>
      <c r="D28" s="49" t="s">
        <v>161</v>
      </c>
      <c r="E28" s="52" t="s">
        <v>163</v>
      </c>
      <c r="F28" s="53">
        <v>200.0</v>
      </c>
      <c r="G28" s="42"/>
      <c r="H28" s="56" t="b">
        <v>1</v>
      </c>
      <c r="I28" s="67"/>
      <c r="J28" s="47" t="b">
        <v>0</v>
      </c>
      <c r="K28" s="59"/>
      <c r="L28" s="61" t="b">
        <v>0</v>
      </c>
      <c r="M28" s="65" t="str">
        <f t="shared" si="1"/>
        <v/>
      </c>
      <c r="N28" s="54" t="s">
        <v>36</v>
      </c>
    </row>
    <row r="29">
      <c r="A29" s="45">
        <v>27.0</v>
      </c>
      <c r="B29" s="49"/>
      <c r="C29" s="47">
        <v>6.78524584E8</v>
      </c>
      <c r="D29" s="49" t="s">
        <v>165</v>
      </c>
      <c r="E29" s="52" t="s">
        <v>167</v>
      </c>
      <c r="F29" s="53">
        <v>200.0</v>
      </c>
      <c r="G29" s="42" t="s">
        <v>169</v>
      </c>
      <c r="H29" s="56" t="b">
        <v>1</v>
      </c>
      <c r="I29" s="67"/>
      <c r="J29" s="47" t="b">
        <v>1</v>
      </c>
      <c r="K29" s="59"/>
      <c r="L29" s="61" t="b">
        <v>1</v>
      </c>
      <c r="M29" s="65" t="str">
        <f t="shared" si="1"/>
        <v/>
      </c>
      <c r="N29" s="54" t="s">
        <v>36</v>
      </c>
    </row>
    <row r="30">
      <c r="A30" s="45">
        <v>28.0</v>
      </c>
      <c r="B30" s="49"/>
      <c r="C30" s="51"/>
      <c r="D30" s="49" t="s">
        <v>171</v>
      </c>
      <c r="E30" s="52" t="s">
        <v>173</v>
      </c>
      <c r="F30" s="53" t="s">
        <v>174</v>
      </c>
      <c r="G30" s="42"/>
      <c r="H30" s="56" t="b">
        <v>1</v>
      </c>
      <c r="I30" s="67"/>
      <c r="J30" s="47" t="b">
        <v>0</v>
      </c>
      <c r="K30" s="59"/>
      <c r="L30" s="61" t="b">
        <v>0</v>
      </c>
      <c r="M30" s="65" t="str">
        <f t="shared" si="1"/>
        <v/>
      </c>
      <c r="N30" s="54" t="s">
        <v>36</v>
      </c>
    </row>
    <row r="31">
      <c r="A31" s="45">
        <v>29.0</v>
      </c>
      <c r="B31" s="49" t="s">
        <v>177</v>
      </c>
      <c r="C31" s="51"/>
      <c r="D31" s="49" t="s">
        <v>178</v>
      </c>
      <c r="E31" s="52" t="s">
        <v>180</v>
      </c>
      <c r="F31" s="53">
        <v>200.0</v>
      </c>
      <c r="G31" s="42"/>
      <c r="H31" s="56" t="b">
        <v>1</v>
      </c>
      <c r="I31" s="67"/>
      <c r="J31" s="47" t="b">
        <v>0</v>
      </c>
      <c r="K31" s="59"/>
      <c r="L31" s="61" t="b">
        <v>1</v>
      </c>
      <c r="M31" s="65" t="str">
        <f t="shared" si="1"/>
        <v/>
      </c>
      <c r="N31" s="54" t="s">
        <v>36</v>
      </c>
    </row>
    <row r="32">
      <c r="A32" s="45">
        <v>30.0</v>
      </c>
      <c r="B32" s="49" t="s">
        <v>182</v>
      </c>
      <c r="C32" s="84">
        <v>6.78975705E8</v>
      </c>
      <c r="D32" s="49" t="s">
        <v>184</v>
      </c>
      <c r="E32" s="52" t="s">
        <v>185</v>
      </c>
      <c r="F32" s="79"/>
      <c r="G32" s="42" t="s">
        <v>186</v>
      </c>
      <c r="H32" s="56" t="b">
        <v>1</v>
      </c>
      <c r="I32" s="67"/>
      <c r="J32" s="47" t="b">
        <v>0</v>
      </c>
      <c r="K32" s="59"/>
      <c r="L32" s="61" t="b">
        <v>1</v>
      </c>
      <c r="M32" s="65" t="str">
        <f t="shared" si="1"/>
        <v/>
      </c>
      <c r="N32" s="54" t="s">
        <v>36</v>
      </c>
    </row>
    <row r="33">
      <c r="A33" s="45">
        <v>31.0</v>
      </c>
      <c r="B33" s="49" t="s">
        <v>187</v>
      </c>
      <c r="C33" s="51"/>
      <c r="D33" s="49" t="s">
        <v>189</v>
      </c>
      <c r="E33" s="52" t="s">
        <v>190</v>
      </c>
      <c r="F33" s="53">
        <v>200.0</v>
      </c>
      <c r="G33" s="42" t="s">
        <v>191</v>
      </c>
      <c r="H33" s="56" t="b">
        <v>1</v>
      </c>
      <c r="I33" s="67"/>
      <c r="J33" s="47" t="b">
        <v>0</v>
      </c>
      <c r="K33" s="59"/>
      <c r="L33" s="61" t="b">
        <v>0</v>
      </c>
      <c r="M33" s="65" t="str">
        <f t="shared" si="1"/>
        <v/>
      </c>
      <c r="N33" s="54" t="s">
        <v>36</v>
      </c>
    </row>
    <row r="34">
      <c r="A34" s="45">
        <v>32.0</v>
      </c>
      <c r="B34" s="49"/>
      <c r="C34" s="51"/>
      <c r="D34" s="49" t="s">
        <v>193</v>
      </c>
      <c r="E34" s="52" t="s">
        <v>194</v>
      </c>
      <c r="F34" s="53">
        <v>400.0</v>
      </c>
      <c r="G34" s="42"/>
      <c r="H34" s="56" t="b">
        <v>1</v>
      </c>
      <c r="I34" s="67"/>
      <c r="J34" s="47" t="b">
        <v>0</v>
      </c>
      <c r="K34" s="59"/>
      <c r="L34" s="61" t="b">
        <v>1</v>
      </c>
      <c r="M34" s="65" t="str">
        <f t="shared" si="1"/>
        <v/>
      </c>
      <c r="N34" s="54" t="s">
        <v>36</v>
      </c>
    </row>
    <row r="35">
      <c r="A35" s="45">
        <v>33.0</v>
      </c>
      <c r="B35" s="49" t="s">
        <v>196</v>
      </c>
      <c r="C35" s="51"/>
      <c r="D35" s="49" t="s">
        <v>198</v>
      </c>
      <c r="E35" s="52" t="s">
        <v>199</v>
      </c>
      <c r="F35" s="53">
        <v>200.0</v>
      </c>
      <c r="G35" s="42" t="s">
        <v>200</v>
      </c>
      <c r="H35" s="47" t="b">
        <v>1</v>
      </c>
      <c r="I35" s="91">
        <v>44927.0</v>
      </c>
      <c r="J35" s="47" t="b">
        <v>1</v>
      </c>
      <c r="K35" s="94">
        <v>44929.0</v>
      </c>
      <c r="L35" s="42" t="b">
        <v>0</v>
      </c>
      <c r="M35" s="96">
        <f t="shared" si="1"/>
        <v>45108</v>
      </c>
      <c r="N35" s="54" t="s">
        <v>36</v>
      </c>
    </row>
    <row r="36">
      <c r="A36" s="45">
        <v>34.0</v>
      </c>
      <c r="B36" s="49"/>
      <c r="C36" s="51"/>
      <c r="D36" s="49" t="s">
        <v>204</v>
      </c>
      <c r="E36" s="52" t="s">
        <v>205</v>
      </c>
      <c r="F36" s="53">
        <v>200.0</v>
      </c>
      <c r="G36" s="42" t="s">
        <v>200</v>
      </c>
      <c r="H36" s="56" t="b">
        <v>1</v>
      </c>
      <c r="I36" s="104">
        <v>44927.0</v>
      </c>
      <c r="J36" s="47" t="b">
        <v>1</v>
      </c>
      <c r="K36" s="74">
        <v>44929.0</v>
      </c>
      <c r="L36" s="61" t="b">
        <v>1</v>
      </c>
      <c r="M36" s="65">
        <f t="shared" si="1"/>
        <v>45108</v>
      </c>
      <c r="N36" s="54" t="s">
        <v>36</v>
      </c>
    </row>
    <row r="37">
      <c r="A37" s="45">
        <v>35.0</v>
      </c>
      <c r="B37" s="49"/>
      <c r="C37" s="51"/>
      <c r="D37" s="49" t="s">
        <v>209</v>
      </c>
      <c r="E37" s="52" t="s">
        <v>210</v>
      </c>
      <c r="F37" s="79"/>
      <c r="G37" s="42"/>
      <c r="H37" s="56" t="b">
        <v>1</v>
      </c>
      <c r="I37" s="104">
        <v>44927.0</v>
      </c>
      <c r="J37" s="47" t="b">
        <v>1</v>
      </c>
      <c r="K37" s="74">
        <v>44930.0</v>
      </c>
      <c r="L37" s="61" t="b">
        <v>1</v>
      </c>
      <c r="M37" s="65">
        <f t="shared" si="1"/>
        <v>45108</v>
      </c>
      <c r="N37" s="54" t="s">
        <v>36</v>
      </c>
    </row>
    <row r="38">
      <c r="A38" s="45">
        <v>36.0</v>
      </c>
      <c r="B38" s="49" t="s">
        <v>213</v>
      </c>
      <c r="C38" s="51"/>
      <c r="D38" s="49" t="s">
        <v>215</v>
      </c>
      <c r="E38" s="52" t="s">
        <v>216</v>
      </c>
      <c r="F38" s="79"/>
      <c r="G38" s="42"/>
      <c r="H38" s="56" t="b">
        <v>1</v>
      </c>
      <c r="I38" s="104">
        <v>44927.0</v>
      </c>
      <c r="J38" s="47" t="b">
        <v>1</v>
      </c>
      <c r="K38" s="74">
        <v>44931.0</v>
      </c>
      <c r="L38" s="61" t="b">
        <v>1</v>
      </c>
      <c r="M38" s="65">
        <f t="shared" si="1"/>
        <v>45108</v>
      </c>
      <c r="N38" s="54" t="s">
        <v>36</v>
      </c>
    </row>
    <row r="39">
      <c r="A39" s="45">
        <v>37.0</v>
      </c>
      <c r="B39" s="49" t="s">
        <v>218</v>
      </c>
      <c r="C39" s="51"/>
      <c r="D39" s="49" t="s">
        <v>219</v>
      </c>
      <c r="E39" s="52" t="s">
        <v>220</v>
      </c>
      <c r="F39" s="53">
        <v>200.0</v>
      </c>
      <c r="G39" s="42"/>
      <c r="H39" s="56" t="b">
        <v>1</v>
      </c>
      <c r="I39" s="104">
        <v>44927.0</v>
      </c>
      <c r="J39" s="47" t="b">
        <v>0</v>
      </c>
      <c r="K39" s="59"/>
      <c r="L39" s="61" t="b">
        <v>1</v>
      </c>
      <c r="M39" s="65">
        <f t="shared" si="1"/>
        <v>45108</v>
      </c>
      <c r="N39" s="54" t="s">
        <v>36</v>
      </c>
    </row>
    <row r="40">
      <c r="A40" s="45">
        <v>38.0</v>
      </c>
      <c r="B40" s="49" t="s">
        <v>223</v>
      </c>
      <c r="C40" s="51"/>
      <c r="D40" s="49" t="s">
        <v>224</v>
      </c>
      <c r="E40" s="52" t="s">
        <v>225</v>
      </c>
      <c r="F40" s="53">
        <v>200.0</v>
      </c>
      <c r="G40" s="42"/>
      <c r="H40" s="56" t="b">
        <v>1</v>
      </c>
      <c r="I40" s="104">
        <v>44927.0</v>
      </c>
      <c r="J40" s="47" t="b">
        <v>0</v>
      </c>
      <c r="K40" s="59"/>
      <c r="L40" s="61" t="b">
        <v>1</v>
      </c>
      <c r="M40" s="65">
        <f t="shared" si="1"/>
        <v>45108</v>
      </c>
      <c r="N40" s="54" t="s">
        <v>36</v>
      </c>
    </row>
    <row r="41">
      <c r="A41" s="45">
        <v>39.0</v>
      </c>
      <c r="B41" s="49" t="s">
        <v>227</v>
      </c>
      <c r="C41" s="51"/>
      <c r="D41" s="49" t="s">
        <v>228</v>
      </c>
      <c r="E41" s="52" t="s">
        <v>229</v>
      </c>
      <c r="F41" s="53">
        <v>200.0</v>
      </c>
      <c r="G41" s="42" t="s">
        <v>230</v>
      </c>
      <c r="H41" s="56" t="b">
        <v>1</v>
      </c>
      <c r="I41" s="104"/>
      <c r="J41" s="47" t="b">
        <v>0</v>
      </c>
      <c r="K41" s="59"/>
      <c r="L41" s="61" t="b">
        <v>1</v>
      </c>
      <c r="M41" s="65" t="str">
        <f t="shared" si="1"/>
        <v/>
      </c>
      <c r="N41" s="54" t="s">
        <v>36</v>
      </c>
    </row>
    <row r="42">
      <c r="A42" s="45">
        <v>40.0</v>
      </c>
      <c r="B42" s="49"/>
      <c r="C42" s="51"/>
      <c r="D42" s="49" t="s">
        <v>235</v>
      </c>
      <c r="E42" s="52" t="s">
        <v>236</v>
      </c>
      <c r="F42" s="53">
        <v>200.0</v>
      </c>
      <c r="G42" s="80"/>
      <c r="H42" s="56" t="b">
        <v>0</v>
      </c>
      <c r="I42" s="104">
        <v>44927.0</v>
      </c>
      <c r="J42" s="51" t="b">
        <v>0</v>
      </c>
      <c r="K42" s="59"/>
      <c r="L42" s="108" t="b">
        <v>0</v>
      </c>
      <c r="M42" s="65">
        <f t="shared" si="1"/>
        <v>45108</v>
      </c>
      <c r="N42" s="54" t="s">
        <v>36</v>
      </c>
    </row>
    <row r="43">
      <c r="A43" s="45">
        <v>41.0</v>
      </c>
      <c r="B43" s="49" t="s">
        <v>240</v>
      </c>
      <c r="C43" s="51"/>
      <c r="D43" s="49" t="s">
        <v>241</v>
      </c>
      <c r="E43" s="52" t="s">
        <v>242</v>
      </c>
      <c r="F43" s="53">
        <v>200.0</v>
      </c>
      <c r="G43" s="80"/>
      <c r="H43" s="56" t="b">
        <v>0</v>
      </c>
      <c r="I43" s="104">
        <v>44927.0</v>
      </c>
      <c r="J43" s="51" t="b">
        <v>0</v>
      </c>
      <c r="K43" s="59"/>
      <c r="L43" s="108" t="b">
        <v>0</v>
      </c>
      <c r="M43" s="65">
        <f t="shared" si="1"/>
        <v>45108</v>
      </c>
      <c r="N43" s="54" t="s">
        <v>36</v>
      </c>
    </row>
    <row r="44">
      <c r="A44" s="45">
        <v>42.0</v>
      </c>
      <c r="B44" s="49"/>
      <c r="C44" s="51"/>
      <c r="D44" s="49" t="s">
        <v>244</v>
      </c>
      <c r="E44" s="52" t="s">
        <v>245</v>
      </c>
      <c r="F44" s="53">
        <v>200.0</v>
      </c>
      <c r="G44" s="42"/>
      <c r="H44" s="56" t="b">
        <v>1</v>
      </c>
      <c r="I44" s="104">
        <v>44927.0</v>
      </c>
      <c r="J44" s="47" t="b">
        <v>0</v>
      </c>
      <c r="K44" s="59"/>
      <c r="L44" s="61" t="b">
        <v>0</v>
      </c>
      <c r="M44" s="65">
        <f t="shared" si="1"/>
        <v>45108</v>
      </c>
      <c r="N44" s="54" t="s">
        <v>36</v>
      </c>
    </row>
    <row r="45">
      <c r="A45" s="45">
        <v>43.0</v>
      </c>
      <c r="B45" s="49" t="s">
        <v>247</v>
      </c>
      <c r="C45" s="51"/>
      <c r="D45" s="49" t="s">
        <v>248</v>
      </c>
      <c r="E45" s="52" t="s">
        <v>249</v>
      </c>
      <c r="F45" s="53">
        <v>200.0</v>
      </c>
      <c r="G45" s="80"/>
      <c r="H45" s="56" t="b">
        <v>1</v>
      </c>
      <c r="I45" s="104">
        <v>44927.0</v>
      </c>
      <c r="J45" s="51" t="b">
        <v>0</v>
      </c>
      <c r="K45" s="59"/>
      <c r="L45" s="61" t="b">
        <v>1</v>
      </c>
      <c r="M45" s="65">
        <f t="shared" si="1"/>
        <v>45108</v>
      </c>
      <c r="N45" s="54" t="s">
        <v>36</v>
      </c>
    </row>
    <row r="46">
      <c r="A46" s="45">
        <v>44.0</v>
      </c>
      <c r="B46" s="109"/>
      <c r="C46" s="51"/>
      <c r="D46" s="49" t="s">
        <v>252</v>
      </c>
      <c r="E46" s="52" t="s">
        <v>253</v>
      </c>
      <c r="F46" s="53">
        <v>180.0</v>
      </c>
      <c r="G46" s="42"/>
      <c r="H46" s="56" t="b">
        <v>1</v>
      </c>
      <c r="I46" s="104">
        <v>44927.0</v>
      </c>
      <c r="J46" s="47" t="b">
        <v>0</v>
      </c>
      <c r="K46" s="59"/>
      <c r="L46" s="61" t="b">
        <v>1</v>
      </c>
      <c r="M46" s="65">
        <f t="shared" si="1"/>
        <v>45108</v>
      </c>
      <c r="N46" s="54" t="s">
        <v>36</v>
      </c>
    </row>
    <row r="47">
      <c r="A47" s="45">
        <v>45.0</v>
      </c>
      <c r="B47" s="49" t="s">
        <v>255</v>
      </c>
      <c r="C47" s="51"/>
      <c r="D47" s="49" t="s">
        <v>256</v>
      </c>
      <c r="E47" s="52" t="s">
        <v>257</v>
      </c>
      <c r="F47" s="53">
        <v>200.0</v>
      </c>
      <c r="G47" s="42"/>
      <c r="H47" s="56" t="b">
        <v>1</v>
      </c>
      <c r="I47" s="104">
        <v>44927.0</v>
      </c>
      <c r="J47" s="47" t="b">
        <v>0</v>
      </c>
      <c r="K47" s="59"/>
      <c r="L47" s="61" t="b">
        <v>1</v>
      </c>
      <c r="M47" s="65">
        <f t="shared" si="1"/>
        <v>45108</v>
      </c>
      <c r="N47" s="54" t="s">
        <v>36</v>
      </c>
    </row>
    <row r="48">
      <c r="A48" s="45">
        <v>46.0</v>
      </c>
      <c r="B48" s="49" t="s">
        <v>259</v>
      </c>
      <c r="C48" s="51"/>
      <c r="D48" s="49" t="s">
        <v>260</v>
      </c>
      <c r="E48" s="52" t="s">
        <v>261</v>
      </c>
      <c r="F48" s="53">
        <v>200.0</v>
      </c>
      <c r="G48" s="42"/>
      <c r="H48" s="56" t="b">
        <v>1</v>
      </c>
      <c r="I48" s="104">
        <v>44927.0</v>
      </c>
      <c r="J48" s="47" t="b">
        <v>0</v>
      </c>
      <c r="K48" s="59"/>
      <c r="L48" s="61" t="b">
        <v>0</v>
      </c>
      <c r="M48" s="65">
        <f t="shared" si="1"/>
        <v>45108</v>
      </c>
      <c r="N48" s="54" t="s">
        <v>36</v>
      </c>
    </row>
    <row r="49">
      <c r="A49" s="45">
        <v>47.0</v>
      </c>
      <c r="B49" s="49" t="s">
        <v>263</v>
      </c>
      <c r="C49" s="47">
        <v>6.60461804E8</v>
      </c>
      <c r="D49" s="49" t="s">
        <v>264</v>
      </c>
      <c r="E49" s="52" t="s">
        <v>265</v>
      </c>
      <c r="F49" s="53">
        <v>200.0</v>
      </c>
      <c r="G49" s="42"/>
      <c r="H49" s="56" t="b">
        <v>1</v>
      </c>
      <c r="I49" s="104">
        <v>45010.0</v>
      </c>
      <c r="J49" s="47" t="b">
        <v>1</v>
      </c>
      <c r="K49" s="74">
        <v>45010.0</v>
      </c>
      <c r="L49" s="61" t="b">
        <v>1</v>
      </c>
      <c r="M49" s="65">
        <f t="shared" si="1"/>
        <v>45194</v>
      </c>
      <c r="N49" s="54" t="s">
        <v>36</v>
      </c>
    </row>
    <row r="50">
      <c r="A50" s="45">
        <v>48.0</v>
      </c>
      <c r="B50" s="49" t="s">
        <v>267</v>
      </c>
      <c r="C50" s="51"/>
      <c r="D50" s="49"/>
      <c r="E50" s="52" t="s">
        <v>35</v>
      </c>
      <c r="F50" s="53">
        <v>200.0</v>
      </c>
      <c r="G50" s="42" t="s">
        <v>268</v>
      </c>
      <c r="H50" s="56" t="b">
        <v>1</v>
      </c>
      <c r="I50" s="111"/>
      <c r="J50" s="51" t="b">
        <v>0</v>
      </c>
      <c r="K50" s="59"/>
      <c r="L50" s="61" t="b">
        <v>0</v>
      </c>
      <c r="M50" s="65" t="str">
        <f t="shared" si="1"/>
        <v/>
      </c>
      <c r="N50" s="54" t="s">
        <v>36</v>
      </c>
    </row>
    <row r="51">
      <c r="A51" s="45">
        <v>49.0</v>
      </c>
      <c r="B51" s="49" t="s">
        <v>95</v>
      </c>
      <c r="C51" s="47"/>
      <c r="D51" s="49"/>
      <c r="E51" s="52" t="s">
        <v>271</v>
      </c>
      <c r="F51" s="53">
        <v>200.0</v>
      </c>
      <c r="G51" s="42"/>
      <c r="H51" s="56" t="b">
        <v>1</v>
      </c>
      <c r="I51" s="104">
        <v>45033.0</v>
      </c>
      <c r="J51" s="47" t="b">
        <v>1</v>
      </c>
      <c r="K51" s="59"/>
      <c r="L51" s="61" t="b">
        <v>1</v>
      </c>
      <c r="M51" s="65">
        <f t="shared" si="1"/>
        <v>45216</v>
      </c>
      <c r="N51" s="54" t="s">
        <v>36</v>
      </c>
    </row>
    <row r="52">
      <c r="A52" s="45">
        <v>50.0</v>
      </c>
      <c r="B52" s="114" t="s">
        <v>273</v>
      </c>
      <c r="C52" s="114">
        <v>6.71162811E8</v>
      </c>
      <c r="D52" s="49" t="s">
        <v>274</v>
      </c>
      <c r="E52" s="52" t="s">
        <v>276</v>
      </c>
      <c r="F52" s="53">
        <v>200.0</v>
      </c>
      <c r="G52" s="80"/>
      <c r="H52" s="56" t="b">
        <v>1</v>
      </c>
      <c r="I52" s="104">
        <v>45038.0</v>
      </c>
      <c r="J52" s="47" t="b">
        <v>1</v>
      </c>
      <c r="K52" s="104">
        <v>45038.0</v>
      </c>
      <c r="L52" s="61" t="b">
        <v>1</v>
      </c>
      <c r="M52" s="65">
        <f t="shared" si="1"/>
        <v>45221</v>
      </c>
      <c r="N52" s="54" t="s">
        <v>36</v>
      </c>
    </row>
    <row r="53">
      <c r="A53" s="45">
        <v>51.0</v>
      </c>
      <c r="B53" s="49" t="s">
        <v>279</v>
      </c>
      <c r="C53" s="47">
        <v>6.95708626E8</v>
      </c>
      <c r="D53" s="49" t="s">
        <v>281</v>
      </c>
      <c r="E53" s="52" t="s">
        <v>282</v>
      </c>
      <c r="F53" s="53">
        <v>200.0</v>
      </c>
      <c r="G53" s="80"/>
      <c r="H53" s="56" t="b">
        <v>1</v>
      </c>
      <c r="I53" s="104">
        <v>45045.0</v>
      </c>
      <c r="J53" s="47" t="b">
        <v>1</v>
      </c>
      <c r="K53" s="104">
        <v>45045.0</v>
      </c>
      <c r="L53" s="61" t="b">
        <v>1</v>
      </c>
      <c r="M53" s="65">
        <f t="shared" si="1"/>
        <v>45228</v>
      </c>
      <c r="N53" s="54" t="s">
        <v>36</v>
      </c>
    </row>
    <row r="54">
      <c r="A54" s="45">
        <v>52.0</v>
      </c>
      <c r="B54" s="49" t="s">
        <v>284</v>
      </c>
      <c r="C54" s="47">
        <v>6.10628863E8</v>
      </c>
      <c r="D54" s="49" t="s">
        <v>286</v>
      </c>
      <c r="E54" s="52" t="s">
        <v>287</v>
      </c>
      <c r="F54" s="53">
        <v>200.0</v>
      </c>
      <c r="G54" s="80"/>
      <c r="H54" s="56" t="b">
        <v>1</v>
      </c>
      <c r="I54" s="104">
        <v>45079.0</v>
      </c>
      <c r="J54" s="47" t="b">
        <v>1</v>
      </c>
      <c r="K54" s="104">
        <v>45079.0</v>
      </c>
      <c r="L54" s="61" t="b">
        <v>1</v>
      </c>
      <c r="M54" s="65">
        <f t="shared" si="1"/>
        <v>45262</v>
      </c>
      <c r="N54" s="54" t="s">
        <v>36</v>
      </c>
    </row>
    <row r="55">
      <c r="A55" s="45">
        <v>53.0</v>
      </c>
      <c r="B55" s="49" t="s">
        <v>289</v>
      </c>
      <c r="C55" s="51"/>
      <c r="D55" s="49" t="s">
        <v>290</v>
      </c>
      <c r="E55" s="52" t="s">
        <v>292</v>
      </c>
      <c r="F55" s="53">
        <v>200.0</v>
      </c>
      <c r="G55" s="80"/>
      <c r="H55" s="56" t="b">
        <v>1</v>
      </c>
      <c r="I55" s="104"/>
      <c r="J55" s="47" t="b">
        <v>1</v>
      </c>
      <c r="K55" s="59"/>
      <c r="L55" s="61" t="b">
        <v>1</v>
      </c>
      <c r="M55" s="65" t="str">
        <f t="shared" si="1"/>
        <v/>
      </c>
      <c r="N55" s="54" t="s">
        <v>36</v>
      </c>
    </row>
    <row r="56">
      <c r="A56" s="45">
        <v>54.0</v>
      </c>
      <c r="B56" s="49" t="s">
        <v>294</v>
      </c>
      <c r="C56" s="51"/>
      <c r="D56" s="49" t="s">
        <v>295</v>
      </c>
      <c r="E56" s="52" t="s">
        <v>297</v>
      </c>
      <c r="F56" s="53">
        <v>200.0</v>
      </c>
      <c r="G56" s="80"/>
      <c r="H56" s="56" t="b">
        <v>1</v>
      </c>
      <c r="I56" s="104"/>
      <c r="J56" s="47" t="b">
        <v>1</v>
      </c>
      <c r="K56" s="59"/>
      <c r="L56" s="61" t="b">
        <v>1</v>
      </c>
      <c r="M56" s="65" t="str">
        <f t="shared" si="1"/>
        <v/>
      </c>
      <c r="N56" s="54" t="s">
        <v>36</v>
      </c>
    </row>
    <row r="57">
      <c r="A57" s="45">
        <v>55.0</v>
      </c>
      <c r="B57" s="49" t="s">
        <v>244</v>
      </c>
      <c r="C57" s="51"/>
      <c r="D57" s="49" t="s">
        <v>244</v>
      </c>
      <c r="E57" s="52" t="s">
        <v>299</v>
      </c>
      <c r="F57" s="53">
        <v>300.0</v>
      </c>
      <c r="G57" s="80"/>
      <c r="H57" s="56" t="b">
        <v>1</v>
      </c>
      <c r="I57" s="70"/>
      <c r="J57" s="47" t="b">
        <v>1</v>
      </c>
      <c r="K57" s="59"/>
      <c r="L57" s="61" t="b">
        <v>1</v>
      </c>
      <c r="M57" s="65" t="str">
        <f t="shared" si="1"/>
        <v/>
      </c>
      <c r="N57" s="54" t="s">
        <v>36</v>
      </c>
    </row>
    <row r="58">
      <c r="A58" s="45">
        <v>56.0</v>
      </c>
      <c r="B58" s="49" t="s">
        <v>301</v>
      </c>
      <c r="C58" s="51"/>
      <c r="D58" s="49" t="s">
        <v>303</v>
      </c>
      <c r="E58" s="52" t="s">
        <v>304</v>
      </c>
      <c r="F58" s="53">
        <v>200.0</v>
      </c>
      <c r="G58" s="42" t="s">
        <v>305</v>
      </c>
      <c r="H58" s="56" t="b">
        <v>1</v>
      </c>
      <c r="I58" s="70"/>
      <c r="J58" s="47" t="b">
        <v>1</v>
      </c>
      <c r="K58" s="59"/>
      <c r="L58" s="61" t="b">
        <v>1</v>
      </c>
      <c r="M58" s="65" t="str">
        <f t="shared" si="1"/>
        <v/>
      </c>
      <c r="N58" s="54" t="s">
        <v>36</v>
      </c>
    </row>
    <row r="59">
      <c r="A59" s="45">
        <v>57.0</v>
      </c>
      <c r="B59" s="49" t="s">
        <v>307</v>
      </c>
      <c r="C59" s="51"/>
      <c r="D59" s="49" t="s">
        <v>308</v>
      </c>
      <c r="E59" s="52" t="s">
        <v>309</v>
      </c>
      <c r="F59" s="53">
        <v>200.0</v>
      </c>
      <c r="G59" s="42" t="s">
        <v>311</v>
      </c>
      <c r="H59" s="56" t="b">
        <v>1</v>
      </c>
      <c r="I59" s="70"/>
      <c r="J59" s="51" t="b">
        <v>0</v>
      </c>
      <c r="K59" s="59"/>
      <c r="L59" s="61" t="b">
        <v>1</v>
      </c>
      <c r="M59" s="65" t="str">
        <f t="shared" si="1"/>
        <v/>
      </c>
      <c r="N59" s="54" t="s">
        <v>36</v>
      </c>
    </row>
    <row r="60">
      <c r="A60" s="45">
        <v>58.0</v>
      </c>
      <c r="B60" s="49" t="s">
        <v>235</v>
      </c>
      <c r="C60" s="51"/>
      <c r="D60" s="49">
        <v>6.1039564E8</v>
      </c>
      <c r="E60" s="52" t="s">
        <v>313</v>
      </c>
      <c r="F60" s="79"/>
      <c r="G60" s="42" t="s">
        <v>314</v>
      </c>
      <c r="H60" s="116" t="b">
        <v>0</v>
      </c>
      <c r="I60" s="70"/>
      <c r="J60" s="51" t="b">
        <v>0</v>
      </c>
      <c r="K60" s="59"/>
      <c r="L60" s="61" t="b">
        <v>1</v>
      </c>
      <c r="M60" s="65" t="str">
        <f t="shared" si="1"/>
        <v/>
      </c>
      <c r="N60" s="54" t="s">
        <v>36</v>
      </c>
    </row>
    <row r="61">
      <c r="A61" s="45">
        <v>59.0</v>
      </c>
      <c r="B61" s="49" t="s">
        <v>317</v>
      </c>
      <c r="C61" s="47">
        <v>6.7939953E8</v>
      </c>
      <c r="D61" s="49" t="s">
        <v>319</v>
      </c>
      <c r="E61" s="52" t="s">
        <v>320</v>
      </c>
      <c r="F61" s="53">
        <v>200.0</v>
      </c>
      <c r="G61" s="42" t="s">
        <v>321</v>
      </c>
      <c r="H61" s="56" t="b">
        <v>1</v>
      </c>
      <c r="I61" s="104">
        <v>45178.0</v>
      </c>
      <c r="J61" s="47" t="b">
        <v>1</v>
      </c>
      <c r="K61" s="104">
        <v>45178.0</v>
      </c>
      <c r="L61" s="61" t="b">
        <v>1</v>
      </c>
      <c r="M61" s="65">
        <f t="shared" si="1"/>
        <v>45360</v>
      </c>
      <c r="N61" s="54" t="s">
        <v>36</v>
      </c>
    </row>
    <row r="62">
      <c r="A62" s="45">
        <v>60.0</v>
      </c>
      <c r="B62" s="49" t="s">
        <v>324</v>
      </c>
      <c r="C62" s="51"/>
      <c r="D62" s="49" t="s">
        <v>325</v>
      </c>
      <c r="E62" s="52" t="s">
        <v>326</v>
      </c>
      <c r="F62" s="53">
        <v>220.0</v>
      </c>
      <c r="G62" s="42" t="s">
        <v>327</v>
      </c>
      <c r="H62" s="56" t="b">
        <v>0</v>
      </c>
      <c r="I62" s="70"/>
      <c r="J62" s="47" t="b">
        <v>0</v>
      </c>
      <c r="K62" s="59"/>
      <c r="L62" s="61" t="b">
        <v>1</v>
      </c>
      <c r="M62" s="65" t="str">
        <f t="shared" si="1"/>
        <v/>
      </c>
      <c r="N62" s="54" t="s">
        <v>36</v>
      </c>
    </row>
    <row r="63">
      <c r="A63" s="45">
        <v>61.0</v>
      </c>
      <c r="B63" s="49" t="s">
        <v>329</v>
      </c>
      <c r="C63" s="47">
        <v>6.71650908E8</v>
      </c>
      <c r="D63" s="49" t="s">
        <v>331</v>
      </c>
      <c r="E63" s="52" t="s">
        <v>332</v>
      </c>
      <c r="F63" s="53">
        <v>200.0</v>
      </c>
      <c r="G63" s="80"/>
      <c r="H63" s="56" t="b">
        <v>1</v>
      </c>
      <c r="I63" s="104">
        <v>45185.0</v>
      </c>
      <c r="J63" s="47" t="b">
        <v>1</v>
      </c>
      <c r="K63" s="104">
        <v>45185.0</v>
      </c>
      <c r="L63" s="61" t="b">
        <v>1</v>
      </c>
      <c r="M63" s="65">
        <f t="shared" si="1"/>
        <v>45367</v>
      </c>
      <c r="N63" s="54" t="s">
        <v>36</v>
      </c>
    </row>
    <row r="64">
      <c r="A64" s="45">
        <v>62.0</v>
      </c>
      <c r="B64" s="49" t="s">
        <v>329</v>
      </c>
      <c r="C64" s="47">
        <v>6.71650908E8</v>
      </c>
      <c r="D64" s="49" t="s">
        <v>334</v>
      </c>
      <c r="E64" s="52" t="s">
        <v>335</v>
      </c>
      <c r="F64" s="53">
        <v>200.0</v>
      </c>
      <c r="G64" s="80"/>
      <c r="H64" s="56" t="b">
        <v>1</v>
      </c>
      <c r="I64" s="104">
        <v>45185.0</v>
      </c>
      <c r="J64" s="47" t="b">
        <v>1</v>
      </c>
      <c r="K64" s="104">
        <v>45185.0</v>
      </c>
      <c r="L64" s="61" t="b">
        <v>1</v>
      </c>
      <c r="M64" s="65">
        <f t="shared" si="1"/>
        <v>45367</v>
      </c>
      <c r="N64" s="54" t="s">
        <v>36</v>
      </c>
    </row>
    <row r="65">
      <c r="A65" s="45">
        <v>63.0</v>
      </c>
      <c r="B65" s="49" t="s">
        <v>329</v>
      </c>
      <c r="C65" s="47">
        <v>6.71650908E8</v>
      </c>
      <c r="D65" s="49" t="s">
        <v>338</v>
      </c>
      <c r="E65" s="52" t="s">
        <v>339</v>
      </c>
      <c r="F65" s="53">
        <v>200.0</v>
      </c>
      <c r="G65" s="80"/>
      <c r="H65" s="56" t="b">
        <v>1</v>
      </c>
      <c r="I65" s="104">
        <v>45185.0</v>
      </c>
      <c r="J65" s="47" t="b">
        <v>1</v>
      </c>
      <c r="K65" s="104">
        <v>45185.0</v>
      </c>
      <c r="L65" s="61" t="b">
        <v>1</v>
      </c>
      <c r="M65" s="65">
        <f t="shared" si="1"/>
        <v>45367</v>
      </c>
      <c r="N65" s="54" t="s">
        <v>36</v>
      </c>
    </row>
    <row r="66">
      <c r="A66" s="45">
        <v>64.0</v>
      </c>
      <c r="B66" s="49" t="s">
        <v>341</v>
      </c>
      <c r="C66" s="51"/>
      <c r="D66" s="49" t="s">
        <v>342</v>
      </c>
      <c r="E66" s="52" t="s">
        <v>343</v>
      </c>
      <c r="F66" s="53">
        <v>220.0</v>
      </c>
      <c r="G66" s="80"/>
      <c r="H66" s="56" t="b">
        <v>1</v>
      </c>
      <c r="I66" s="70"/>
      <c r="J66" s="51" t="b">
        <v>0</v>
      </c>
      <c r="K66" s="59"/>
      <c r="L66" s="61" t="b">
        <v>1</v>
      </c>
      <c r="M66" s="65" t="str">
        <f t="shared" si="1"/>
        <v/>
      </c>
      <c r="N66" s="54" t="s">
        <v>36</v>
      </c>
    </row>
    <row r="67">
      <c r="A67" s="45">
        <v>65.0</v>
      </c>
      <c r="B67" s="49" t="s">
        <v>346</v>
      </c>
      <c r="C67" s="51"/>
      <c r="D67" s="49" t="s">
        <v>347</v>
      </c>
      <c r="E67" s="52" t="s">
        <v>348</v>
      </c>
      <c r="F67" s="53">
        <v>220.0</v>
      </c>
      <c r="G67" s="42" t="s">
        <v>349</v>
      </c>
      <c r="H67" s="56" t="b">
        <v>1</v>
      </c>
      <c r="I67" s="70"/>
      <c r="J67" s="47" t="b">
        <v>1</v>
      </c>
      <c r="K67" s="59"/>
      <c r="L67" s="61" t="b">
        <v>1</v>
      </c>
      <c r="M67" s="65" t="str">
        <f t="shared" si="1"/>
        <v/>
      </c>
      <c r="N67" s="54" t="s">
        <v>36</v>
      </c>
    </row>
    <row r="68">
      <c r="A68" s="45">
        <v>66.0</v>
      </c>
      <c r="B68" s="49" t="s">
        <v>351</v>
      </c>
      <c r="C68" s="51"/>
      <c r="D68" s="49"/>
      <c r="E68" s="52" t="s">
        <v>352</v>
      </c>
      <c r="F68" s="53">
        <v>220.0</v>
      </c>
      <c r="G68" s="42" t="s">
        <v>353</v>
      </c>
      <c r="H68" s="56" t="b">
        <v>1</v>
      </c>
      <c r="I68" s="70"/>
      <c r="J68" s="47" t="b">
        <v>1</v>
      </c>
      <c r="K68" s="59"/>
      <c r="L68" s="61" t="b">
        <v>1</v>
      </c>
      <c r="M68" s="65" t="str">
        <f t="shared" si="1"/>
        <v/>
      </c>
      <c r="N68" s="54" t="s">
        <v>36</v>
      </c>
    </row>
    <row r="69">
      <c r="A69" s="45">
        <v>67.0</v>
      </c>
      <c r="B69" s="49" t="s">
        <v>354</v>
      </c>
      <c r="C69" s="51"/>
      <c r="D69" s="49" t="s">
        <v>354</v>
      </c>
      <c r="E69" s="52" t="s">
        <v>356</v>
      </c>
      <c r="F69" s="53">
        <v>220.0</v>
      </c>
      <c r="G69" s="80"/>
      <c r="H69" s="56" t="b">
        <v>1</v>
      </c>
      <c r="I69" s="70"/>
      <c r="J69" s="47" t="b">
        <v>1</v>
      </c>
      <c r="K69" s="59"/>
      <c r="L69" s="61" t="b">
        <v>1</v>
      </c>
      <c r="M69" s="65" t="str">
        <f t="shared" si="1"/>
        <v/>
      </c>
      <c r="N69" s="54" t="s">
        <v>36</v>
      </c>
    </row>
    <row r="70">
      <c r="A70" s="45">
        <v>68.0</v>
      </c>
      <c r="B70" s="49" t="s">
        <v>263</v>
      </c>
      <c r="C70" s="51"/>
      <c r="D70" s="49" t="s">
        <v>358</v>
      </c>
      <c r="E70" s="52" t="s">
        <v>359</v>
      </c>
      <c r="F70" s="53">
        <v>220.0</v>
      </c>
      <c r="G70" s="80"/>
      <c r="H70" s="56" t="b">
        <v>1</v>
      </c>
      <c r="I70" s="70"/>
      <c r="J70" s="47" t="b">
        <v>1</v>
      </c>
      <c r="K70" s="59"/>
      <c r="L70" s="61" t="b">
        <v>1</v>
      </c>
      <c r="M70" s="65" t="str">
        <f t="shared" si="1"/>
        <v/>
      </c>
      <c r="N70" s="54" t="s">
        <v>36</v>
      </c>
    </row>
    <row r="71">
      <c r="A71" s="45">
        <v>69.0</v>
      </c>
      <c r="B71" s="49" t="s">
        <v>361</v>
      </c>
      <c r="C71" s="47">
        <v>6.27505407E8</v>
      </c>
      <c r="D71" s="49" t="s">
        <v>362</v>
      </c>
      <c r="E71" s="52" t="s">
        <v>363</v>
      </c>
      <c r="F71" s="53">
        <v>440.0</v>
      </c>
      <c r="G71" s="80"/>
      <c r="H71" s="56" t="b">
        <v>1</v>
      </c>
      <c r="I71" s="57">
        <v>45233.0</v>
      </c>
      <c r="J71" s="47" t="b">
        <v>1</v>
      </c>
      <c r="K71" s="59"/>
      <c r="L71" s="61" t="b">
        <v>1</v>
      </c>
      <c r="M71" s="65">
        <f t="shared" si="1"/>
        <v>45415</v>
      </c>
      <c r="N71" s="54" t="s">
        <v>36</v>
      </c>
    </row>
    <row r="72">
      <c r="A72" s="45">
        <v>70.0</v>
      </c>
      <c r="B72" s="49" t="s">
        <v>365</v>
      </c>
      <c r="C72" s="51"/>
      <c r="D72" s="49" t="s">
        <v>365</v>
      </c>
      <c r="E72" s="52" t="s">
        <v>366</v>
      </c>
      <c r="F72" s="53">
        <v>220.0</v>
      </c>
      <c r="G72" s="42" t="s">
        <v>367</v>
      </c>
      <c r="H72" s="56" t="b">
        <v>1</v>
      </c>
      <c r="I72" s="70"/>
      <c r="J72" s="47" t="b">
        <v>1</v>
      </c>
      <c r="K72" s="59"/>
      <c r="L72" s="61" t="b">
        <v>1</v>
      </c>
      <c r="M72" s="65" t="str">
        <f t="shared" si="1"/>
        <v/>
      </c>
      <c r="N72" s="54" t="s">
        <v>36</v>
      </c>
    </row>
    <row r="73">
      <c r="A73" s="45">
        <v>71.0</v>
      </c>
      <c r="B73" s="49" t="s">
        <v>370</v>
      </c>
      <c r="C73" s="51"/>
      <c r="D73" s="49" t="s">
        <v>371</v>
      </c>
      <c r="E73" s="52" t="s">
        <v>372</v>
      </c>
      <c r="F73" s="53">
        <v>220.0</v>
      </c>
      <c r="G73" s="80"/>
      <c r="H73" s="56" t="b">
        <v>1</v>
      </c>
      <c r="I73" s="70"/>
      <c r="J73" s="47" t="b">
        <v>1</v>
      </c>
      <c r="K73" s="59"/>
      <c r="L73" s="61" t="b">
        <v>1</v>
      </c>
      <c r="M73" s="65" t="str">
        <f t="shared" si="1"/>
        <v/>
      </c>
      <c r="N73" s="54" t="s">
        <v>36</v>
      </c>
    </row>
    <row r="74">
      <c r="A74" s="45">
        <v>72.0</v>
      </c>
      <c r="B74" s="49" t="s">
        <v>331</v>
      </c>
      <c r="C74" s="47">
        <v>6.30652346E8</v>
      </c>
      <c r="D74" s="49" t="s">
        <v>373</v>
      </c>
      <c r="E74" s="52" t="s">
        <v>374</v>
      </c>
      <c r="F74" s="53">
        <v>220.0</v>
      </c>
      <c r="G74" s="80"/>
      <c r="H74" s="56" t="b">
        <v>1</v>
      </c>
      <c r="I74" s="70"/>
      <c r="J74" s="47" t="b">
        <v>1</v>
      </c>
      <c r="K74" s="59"/>
      <c r="L74" s="61" t="b">
        <v>1</v>
      </c>
      <c r="M74" s="65" t="str">
        <f t="shared" si="1"/>
        <v/>
      </c>
      <c r="N74" s="54" t="s">
        <v>36</v>
      </c>
    </row>
    <row r="75">
      <c r="A75" s="45">
        <v>73.0</v>
      </c>
      <c r="B75" s="49" t="s">
        <v>377</v>
      </c>
      <c r="C75" s="47">
        <v>6.47516009E8</v>
      </c>
      <c r="D75" s="49" t="s">
        <v>378</v>
      </c>
      <c r="E75" s="52" t="s">
        <v>379</v>
      </c>
      <c r="F75" s="53">
        <v>220.0</v>
      </c>
      <c r="G75" s="42"/>
      <c r="H75" s="56" t="b">
        <v>1</v>
      </c>
      <c r="I75" s="70"/>
      <c r="J75" s="47" t="b">
        <v>1</v>
      </c>
      <c r="K75" s="59"/>
      <c r="L75" s="61" t="b">
        <v>0</v>
      </c>
      <c r="M75" s="65" t="str">
        <f t="shared" si="1"/>
        <v/>
      </c>
      <c r="N75" s="118"/>
    </row>
    <row r="76">
      <c r="A76" s="45">
        <v>74.0</v>
      </c>
      <c r="B76" s="49" t="s">
        <v>377</v>
      </c>
      <c r="C76" s="47">
        <v>6.47516009E8</v>
      </c>
      <c r="D76" s="49" t="s">
        <v>378</v>
      </c>
      <c r="E76" s="52" t="s">
        <v>381</v>
      </c>
      <c r="F76" s="53">
        <v>220.0</v>
      </c>
      <c r="G76" s="42" t="s">
        <v>382</v>
      </c>
      <c r="H76" s="56" t="b">
        <v>1</v>
      </c>
      <c r="I76" s="70"/>
      <c r="J76" s="47" t="b">
        <v>1</v>
      </c>
      <c r="K76" s="59"/>
      <c r="L76" s="61" t="b">
        <v>1</v>
      </c>
      <c r="M76" s="65" t="str">
        <f t="shared" si="1"/>
        <v/>
      </c>
      <c r="N76" s="54" t="s">
        <v>36</v>
      </c>
    </row>
    <row r="77">
      <c r="A77" s="45">
        <v>75.0</v>
      </c>
      <c r="B77" s="49" t="s">
        <v>377</v>
      </c>
      <c r="C77" s="47">
        <v>6.47516009E8</v>
      </c>
      <c r="D77" s="49" t="s">
        <v>378</v>
      </c>
      <c r="E77" s="52" t="s">
        <v>229</v>
      </c>
      <c r="F77" s="53">
        <v>220.0</v>
      </c>
      <c r="G77" s="42"/>
      <c r="H77" s="56" t="b">
        <v>1</v>
      </c>
      <c r="I77" s="70"/>
      <c r="J77" s="47" t="b">
        <v>1</v>
      </c>
      <c r="K77" s="59"/>
      <c r="L77" s="61" t="b">
        <v>1</v>
      </c>
      <c r="M77" s="65" t="str">
        <f t="shared" si="1"/>
        <v/>
      </c>
      <c r="N77" s="54" t="s">
        <v>36</v>
      </c>
    </row>
    <row r="78">
      <c r="A78" s="45">
        <v>76.0</v>
      </c>
      <c r="B78" s="49" t="s">
        <v>385</v>
      </c>
      <c r="C78" s="51"/>
      <c r="D78" s="49" t="s">
        <v>325</v>
      </c>
      <c r="E78" s="52" t="s">
        <v>386</v>
      </c>
      <c r="F78" s="53">
        <v>220.0</v>
      </c>
      <c r="G78" s="42" t="s">
        <v>387</v>
      </c>
      <c r="H78" s="56" t="b">
        <v>1</v>
      </c>
      <c r="I78" s="70"/>
      <c r="J78" s="47" t="b">
        <v>1</v>
      </c>
      <c r="K78" s="59"/>
      <c r="L78" s="61" t="b">
        <v>1</v>
      </c>
      <c r="M78" s="65" t="str">
        <f t="shared" si="1"/>
        <v/>
      </c>
      <c r="N78" s="54" t="s">
        <v>36</v>
      </c>
    </row>
    <row r="79">
      <c r="A79" s="45">
        <v>77.0</v>
      </c>
      <c r="B79" s="49" t="s">
        <v>388</v>
      </c>
      <c r="C79" s="51"/>
      <c r="D79" s="49" t="s">
        <v>389</v>
      </c>
      <c r="E79" s="52" t="s">
        <v>390</v>
      </c>
      <c r="F79" s="53">
        <v>220.0</v>
      </c>
      <c r="G79" s="80"/>
      <c r="H79" s="56" t="b">
        <v>1</v>
      </c>
      <c r="I79" s="70"/>
      <c r="J79" s="47" t="b">
        <v>1</v>
      </c>
      <c r="K79" s="59"/>
      <c r="L79" s="61" t="b">
        <v>1</v>
      </c>
      <c r="M79" s="65" t="str">
        <f t="shared" si="1"/>
        <v/>
      </c>
      <c r="N79" s="54" t="s">
        <v>36</v>
      </c>
    </row>
    <row r="80">
      <c r="A80" s="45">
        <v>78.0</v>
      </c>
      <c r="B80" s="49" t="s">
        <v>388</v>
      </c>
      <c r="C80" s="51"/>
      <c r="D80" s="49" t="s">
        <v>389</v>
      </c>
      <c r="E80" s="52" t="s">
        <v>391</v>
      </c>
      <c r="F80" s="53">
        <v>220.0</v>
      </c>
      <c r="G80" s="80"/>
      <c r="H80" s="56" t="b">
        <v>1</v>
      </c>
      <c r="I80" s="70"/>
      <c r="J80" s="47" t="b">
        <v>1</v>
      </c>
      <c r="K80" s="59"/>
      <c r="L80" s="61" t="b">
        <v>1</v>
      </c>
      <c r="M80" s="65" t="str">
        <f t="shared" si="1"/>
        <v/>
      </c>
      <c r="N80" s="54" t="s">
        <v>36</v>
      </c>
    </row>
    <row r="81">
      <c r="A81" s="45">
        <v>79.0</v>
      </c>
      <c r="B81" s="49" t="s">
        <v>392</v>
      </c>
      <c r="C81" s="51"/>
      <c r="D81" s="49" t="s">
        <v>393</v>
      </c>
      <c r="E81" s="52" t="s">
        <v>394</v>
      </c>
      <c r="F81" s="53">
        <v>220.0</v>
      </c>
      <c r="G81" s="80"/>
      <c r="H81" s="56" t="b">
        <v>1</v>
      </c>
      <c r="I81" s="70"/>
      <c r="J81" s="47" t="b">
        <v>1</v>
      </c>
      <c r="K81" s="59"/>
      <c r="L81" s="61" t="b">
        <v>1</v>
      </c>
      <c r="M81" s="65" t="str">
        <f t="shared" si="1"/>
        <v/>
      </c>
      <c r="N81" s="54" t="s">
        <v>36</v>
      </c>
    </row>
    <row r="82">
      <c r="A82" s="45">
        <v>80.0</v>
      </c>
      <c r="B82" s="49" t="s">
        <v>396</v>
      </c>
      <c r="C82" s="51"/>
      <c r="D82" s="49" t="s">
        <v>396</v>
      </c>
      <c r="E82" s="52" t="s">
        <v>397</v>
      </c>
      <c r="F82" s="53">
        <v>220.0</v>
      </c>
      <c r="G82" s="80"/>
      <c r="H82" s="56" t="b">
        <v>1</v>
      </c>
      <c r="I82" s="70"/>
      <c r="J82" s="47" t="b">
        <v>1</v>
      </c>
      <c r="K82" s="59"/>
      <c r="L82" s="61" t="b">
        <v>1</v>
      </c>
      <c r="M82" s="65" t="str">
        <f t="shared" si="1"/>
        <v/>
      </c>
      <c r="N82" s="54" t="s">
        <v>36</v>
      </c>
    </row>
    <row r="83">
      <c r="A83" s="45">
        <v>81.0</v>
      </c>
      <c r="B83" s="49" t="s">
        <v>396</v>
      </c>
      <c r="C83" s="51"/>
      <c r="D83" s="49" t="s">
        <v>396</v>
      </c>
      <c r="E83" s="52" t="s">
        <v>399</v>
      </c>
      <c r="F83" s="53">
        <v>220.0</v>
      </c>
      <c r="G83" s="80"/>
      <c r="H83" s="56" t="b">
        <v>1</v>
      </c>
      <c r="I83" s="70"/>
      <c r="J83" s="47" t="b">
        <v>1</v>
      </c>
      <c r="K83" s="59"/>
      <c r="L83" s="61" t="b">
        <v>1</v>
      </c>
      <c r="M83" s="65" t="str">
        <f t="shared" si="1"/>
        <v/>
      </c>
      <c r="N83" s="54" t="s">
        <v>36</v>
      </c>
    </row>
    <row r="84">
      <c r="A84" s="45">
        <v>82.0</v>
      </c>
      <c r="B84" s="49" t="s">
        <v>396</v>
      </c>
      <c r="C84" s="51"/>
      <c r="D84" s="49" t="s">
        <v>396</v>
      </c>
      <c r="E84" s="52" t="s">
        <v>401</v>
      </c>
      <c r="F84" s="53">
        <v>220.0</v>
      </c>
      <c r="G84" s="80"/>
      <c r="H84" s="56" t="b">
        <v>1</v>
      </c>
      <c r="I84" s="70"/>
      <c r="J84" s="47" t="b">
        <v>1</v>
      </c>
      <c r="K84" s="59"/>
      <c r="L84" s="61" t="b">
        <v>1</v>
      </c>
      <c r="M84" s="65" t="str">
        <f t="shared" si="1"/>
        <v/>
      </c>
      <c r="N84" s="54" t="s">
        <v>36</v>
      </c>
    </row>
    <row r="85">
      <c r="A85" s="45">
        <v>83.0</v>
      </c>
      <c r="B85" s="49" t="s">
        <v>402</v>
      </c>
      <c r="C85" s="51"/>
      <c r="D85" s="49" t="s">
        <v>403</v>
      </c>
      <c r="E85" s="52" t="s">
        <v>404</v>
      </c>
      <c r="F85" s="53">
        <v>220.0</v>
      </c>
      <c r="G85" s="80"/>
      <c r="H85" s="56" t="b">
        <v>1</v>
      </c>
      <c r="I85" s="70"/>
      <c r="J85" s="47" t="b">
        <v>1</v>
      </c>
      <c r="K85" s="59"/>
      <c r="L85" s="61" t="b">
        <v>1</v>
      </c>
      <c r="M85" s="65" t="str">
        <f t="shared" si="1"/>
        <v/>
      </c>
      <c r="N85" s="54" t="s">
        <v>36</v>
      </c>
    </row>
    <row r="86">
      <c r="A86" s="45">
        <v>84.0</v>
      </c>
      <c r="B86" s="49" t="s">
        <v>405</v>
      </c>
      <c r="C86" s="47">
        <v>9.43016207E8</v>
      </c>
      <c r="D86" s="49" t="s">
        <v>406</v>
      </c>
      <c r="E86" s="52" t="s">
        <v>407</v>
      </c>
      <c r="F86" s="53">
        <v>220.0</v>
      </c>
      <c r="G86" s="80"/>
      <c r="H86" s="56" t="b">
        <v>1</v>
      </c>
      <c r="I86" s="68">
        <v>45283.0</v>
      </c>
      <c r="J86" s="47" t="b">
        <v>1</v>
      </c>
      <c r="K86" s="59"/>
      <c r="L86" s="61" t="b">
        <v>1</v>
      </c>
      <c r="M86" s="65">
        <f t="shared" si="1"/>
        <v>45466</v>
      </c>
      <c r="N86" s="54" t="s">
        <v>36</v>
      </c>
    </row>
    <row r="87">
      <c r="A87" s="45">
        <v>85.0</v>
      </c>
      <c r="B87" s="49" t="s">
        <v>409</v>
      </c>
      <c r="C87" s="51"/>
      <c r="D87" s="49" t="s">
        <v>410</v>
      </c>
      <c r="E87" s="52" t="s">
        <v>411</v>
      </c>
      <c r="F87" s="53">
        <v>220.0</v>
      </c>
      <c r="G87" s="80"/>
      <c r="H87" s="56" t="b">
        <v>1</v>
      </c>
      <c r="I87" s="68">
        <v>45287.0</v>
      </c>
      <c r="J87" s="47" t="b">
        <v>1</v>
      </c>
      <c r="K87" s="59"/>
      <c r="L87" s="108" t="b">
        <v>0</v>
      </c>
      <c r="M87" s="65">
        <f t="shared" si="1"/>
        <v>45470</v>
      </c>
      <c r="N87" s="54" t="s">
        <v>36</v>
      </c>
    </row>
    <row r="88">
      <c r="A88" s="45">
        <v>86.0</v>
      </c>
      <c r="B88" s="49" t="s">
        <v>413</v>
      </c>
      <c r="C88" s="47">
        <v>6.38433353E8</v>
      </c>
      <c r="D88" s="49" t="s">
        <v>413</v>
      </c>
      <c r="E88" s="52" t="s">
        <v>414</v>
      </c>
      <c r="F88" s="53">
        <v>220.0</v>
      </c>
      <c r="G88" s="80"/>
      <c r="H88" s="56" t="b">
        <v>1</v>
      </c>
      <c r="I88" s="68">
        <v>45289.0</v>
      </c>
      <c r="J88" s="47" t="b">
        <v>1</v>
      </c>
      <c r="K88" s="68">
        <v>45289.0</v>
      </c>
      <c r="L88" s="61" t="b">
        <v>1</v>
      </c>
      <c r="M88" s="65">
        <f t="shared" si="1"/>
        <v>45472</v>
      </c>
      <c r="N88" s="54" t="s">
        <v>36</v>
      </c>
    </row>
    <row r="89">
      <c r="A89" s="45">
        <v>87.0</v>
      </c>
      <c r="B89" s="49" t="s">
        <v>416</v>
      </c>
      <c r="C89" s="51"/>
      <c r="D89" s="49" t="s">
        <v>417</v>
      </c>
      <c r="E89" s="52" t="s">
        <v>418</v>
      </c>
      <c r="F89" s="53">
        <v>220.0</v>
      </c>
      <c r="G89" s="42" t="s">
        <v>420</v>
      </c>
      <c r="H89" s="56" t="b">
        <v>1</v>
      </c>
      <c r="I89" s="104">
        <v>45294.0</v>
      </c>
      <c r="J89" s="47" t="b">
        <v>1</v>
      </c>
      <c r="K89" s="59"/>
      <c r="L89" s="61" t="b">
        <v>1</v>
      </c>
      <c r="M89" s="65">
        <f t="shared" si="1"/>
        <v>45476</v>
      </c>
      <c r="N89" s="54" t="s">
        <v>36</v>
      </c>
    </row>
    <row r="90">
      <c r="A90" s="45">
        <v>88.0</v>
      </c>
      <c r="B90" s="49" t="s">
        <v>421</v>
      </c>
      <c r="C90" s="51"/>
      <c r="D90" s="49" t="s">
        <v>422</v>
      </c>
      <c r="E90" s="52" t="s">
        <v>423</v>
      </c>
      <c r="F90" s="53">
        <v>220.0</v>
      </c>
      <c r="G90" s="80"/>
      <c r="H90" s="56" t="b">
        <v>1</v>
      </c>
      <c r="I90" s="104">
        <v>45295.0</v>
      </c>
      <c r="J90" s="47" t="b">
        <v>1</v>
      </c>
      <c r="K90" s="59"/>
      <c r="L90" s="61" t="b">
        <v>1</v>
      </c>
      <c r="M90" s="65">
        <f t="shared" si="1"/>
        <v>45477</v>
      </c>
      <c r="N90" s="54" t="s">
        <v>36</v>
      </c>
    </row>
    <row r="91">
      <c r="A91" s="45">
        <v>89.0</v>
      </c>
      <c r="B91" s="49" t="s">
        <v>425</v>
      </c>
      <c r="C91" s="51"/>
      <c r="D91" s="49" t="s">
        <v>426</v>
      </c>
      <c r="E91" s="52" t="s">
        <v>427</v>
      </c>
      <c r="F91" s="53">
        <v>220.0</v>
      </c>
      <c r="G91" s="80"/>
      <c r="H91" s="56" t="b">
        <v>1</v>
      </c>
      <c r="I91" s="104">
        <v>45296.0</v>
      </c>
      <c r="J91" s="47" t="b">
        <v>1</v>
      </c>
      <c r="K91" s="59"/>
      <c r="L91" s="61" t="b">
        <v>1</v>
      </c>
      <c r="M91" s="65">
        <f t="shared" si="1"/>
        <v>45478</v>
      </c>
      <c r="N91" s="54" t="s">
        <v>36</v>
      </c>
    </row>
    <row r="92">
      <c r="A92" s="45">
        <v>90.0</v>
      </c>
      <c r="B92" s="49" t="s">
        <v>429</v>
      </c>
      <c r="C92" s="51"/>
      <c r="D92" s="49" t="s">
        <v>430</v>
      </c>
      <c r="E92" s="52" t="s">
        <v>431</v>
      </c>
      <c r="F92" s="53">
        <v>220.0</v>
      </c>
      <c r="G92" s="80"/>
      <c r="H92" s="56" t="b">
        <v>1</v>
      </c>
      <c r="I92" s="70"/>
      <c r="J92" s="47" t="b">
        <v>1</v>
      </c>
      <c r="K92" s="59"/>
      <c r="L92" s="61" t="b">
        <v>1</v>
      </c>
      <c r="M92" s="65" t="str">
        <f t="shared" si="1"/>
        <v/>
      </c>
      <c r="N92" s="54" t="s">
        <v>36</v>
      </c>
    </row>
    <row r="93">
      <c r="A93" s="45">
        <v>91.0</v>
      </c>
      <c r="B93" s="49" t="s">
        <v>433</v>
      </c>
      <c r="C93" s="51"/>
      <c r="D93" s="109"/>
      <c r="E93" s="52" t="s">
        <v>434</v>
      </c>
      <c r="F93" s="53">
        <v>220.0</v>
      </c>
      <c r="G93" s="42" t="s">
        <v>435</v>
      </c>
      <c r="H93" s="56" t="b">
        <v>1</v>
      </c>
      <c r="I93" s="57">
        <v>45304.0</v>
      </c>
      <c r="J93" s="47" t="b">
        <v>1</v>
      </c>
      <c r="K93" s="57">
        <v>45304.0</v>
      </c>
      <c r="L93" s="61" t="b">
        <v>0</v>
      </c>
      <c r="M93" s="65">
        <f t="shared" si="1"/>
        <v>45486</v>
      </c>
      <c r="N93" s="54" t="s">
        <v>36</v>
      </c>
    </row>
    <row r="94">
      <c r="A94" s="45">
        <v>92.0</v>
      </c>
      <c r="B94" s="49" t="s">
        <v>433</v>
      </c>
      <c r="C94" s="51"/>
      <c r="D94" s="109"/>
      <c r="E94" s="52" t="s">
        <v>437</v>
      </c>
      <c r="F94" s="53">
        <v>220.0</v>
      </c>
      <c r="G94" s="42" t="s">
        <v>435</v>
      </c>
      <c r="H94" s="56" t="b">
        <v>1</v>
      </c>
      <c r="I94" s="57">
        <v>45304.0</v>
      </c>
      <c r="J94" s="47" t="b">
        <v>1</v>
      </c>
      <c r="K94" s="57">
        <v>45304.0</v>
      </c>
      <c r="L94" s="108" t="b">
        <v>0</v>
      </c>
      <c r="M94" s="65">
        <f t="shared" si="1"/>
        <v>45486</v>
      </c>
      <c r="N94" s="54" t="s">
        <v>36</v>
      </c>
    </row>
    <row r="95">
      <c r="A95" s="45">
        <v>93.0</v>
      </c>
      <c r="B95" s="49" t="s">
        <v>244</v>
      </c>
      <c r="C95" s="51"/>
      <c r="D95" s="109"/>
      <c r="E95" s="52" t="s">
        <v>438</v>
      </c>
      <c r="F95" s="53">
        <v>300.0</v>
      </c>
      <c r="G95" s="42" t="s">
        <v>439</v>
      </c>
      <c r="H95" s="116" t="b">
        <v>0</v>
      </c>
      <c r="I95" s="57">
        <v>45324.0</v>
      </c>
      <c r="J95" s="51" t="b">
        <v>0</v>
      </c>
      <c r="K95" s="59"/>
      <c r="L95" s="61" t="b">
        <v>1</v>
      </c>
      <c r="M95" s="65">
        <f t="shared" si="1"/>
        <v>45506</v>
      </c>
      <c r="N95" s="54" t="s">
        <v>36</v>
      </c>
    </row>
    <row r="96">
      <c r="A96" s="45">
        <v>94.0</v>
      </c>
      <c r="B96" s="49" t="s">
        <v>442</v>
      </c>
      <c r="C96" s="47">
        <v>6.36620319E8</v>
      </c>
      <c r="D96" s="49" t="s">
        <v>443</v>
      </c>
      <c r="E96" s="52" t="s">
        <v>444</v>
      </c>
      <c r="F96" s="53">
        <v>220.0</v>
      </c>
      <c r="G96" s="80"/>
      <c r="H96" s="56" t="b">
        <v>1</v>
      </c>
      <c r="I96" s="68">
        <v>45332.0</v>
      </c>
      <c r="J96" s="47" t="b">
        <v>1</v>
      </c>
      <c r="K96" s="68">
        <v>45332.0</v>
      </c>
      <c r="L96" s="61" t="b">
        <v>1</v>
      </c>
      <c r="M96" s="65">
        <f t="shared" si="1"/>
        <v>45514</v>
      </c>
      <c r="N96" s="54" t="s">
        <v>36</v>
      </c>
    </row>
    <row r="97">
      <c r="A97" s="45">
        <v>95.0</v>
      </c>
      <c r="B97" s="49" t="s">
        <v>446</v>
      </c>
      <c r="C97" s="47">
        <v>6.71884363E8</v>
      </c>
      <c r="D97" s="49" t="s">
        <v>447</v>
      </c>
      <c r="E97" s="52" t="s">
        <v>448</v>
      </c>
      <c r="F97" s="53">
        <v>220.0</v>
      </c>
      <c r="G97" s="80"/>
      <c r="H97" s="56" t="b">
        <v>1</v>
      </c>
      <c r="I97" s="68">
        <v>45339.0</v>
      </c>
      <c r="J97" s="47" t="b">
        <v>1</v>
      </c>
      <c r="K97" s="68">
        <v>45339.0</v>
      </c>
      <c r="L97" s="61" t="b">
        <v>1</v>
      </c>
      <c r="M97" s="65">
        <f t="shared" si="1"/>
        <v>45521</v>
      </c>
      <c r="N97" s="54" t="s">
        <v>36</v>
      </c>
    </row>
    <row r="98">
      <c r="A98" s="45">
        <v>96.0</v>
      </c>
      <c r="B98" s="49" t="s">
        <v>451</v>
      </c>
      <c r="C98" s="47">
        <v>6.34441114E8</v>
      </c>
      <c r="D98" s="49" t="s">
        <v>452</v>
      </c>
      <c r="E98" s="52" t="s">
        <v>453</v>
      </c>
      <c r="F98" s="53">
        <v>220.0</v>
      </c>
      <c r="G98" s="42" t="s">
        <v>454</v>
      </c>
      <c r="H98" s="56" t="b">
        <v>1</v>
      </c>
      <c r="I98" s="104">
        <v>45350.0</v>
      </c>
      <c r="J98" s="47" t="b">
        <v>1</v>
      </c>
      <c r="K98" s="59"/>
      <c r="L98" s="61" t="b">
        <v>1</v>
      </c>
      <c r="M98" s="65">
        <f t="shared" si="1"/>
        <v>45532</v>
      </c>
      <c r="N98" s="54" t="s">
        <v>36</v>
      </c>
    </row>
    <row r="99">
      <c r="A99" s="45">
        <v>97.0</v>
      </c>
      <c r="B99" s="49" t="s">
        <v>458</v>
      </c>
      <c r="C99" s="47">
        <v>6.94463477E8</v>
      </c>
      <c r="D99" s="49" t="s">
        <v>459</v>
      </c>
      <c r="E99" s="52" t="s">
        <v>460</v>
      </c>
      <c r="F99" s="53">
        <v>220.0</v>
      </c>
      <c r="G99" s="42" t="s">
        <v>461</v>
      </c>
      <c r="H99" s="56" t="b">
        <v>1</v>
      </c>
      <c r="I99" s="104">
        <v>45353.0</v>
      </c>
      <c r="J99" s="47" t="b">
        <v>1</v>
      </c>
      <c r="K99" s="104">
        <v>45353.0</v>
      </c>
      <c r="L99" s="61" t="b">
        <v>1</v>
      </c>
      <c r="M99" s="65">
        <f t="shared" si="1"/>
        <v>45537</v>
      </c>
      <c r="N99" s="54" t="s">
        <v>36</v>
      </c>
    </row>
    <row r="100">
      <c r="A100" s="45">
        <v>98.0</v>
      </c>
      <c r="B100" s="120" t="s">
        <v>463</v>
      </c>
      <c r="C100" s="121">
        <v>6.69346914E8</v>
      </c>
      <c r="D100" s="120" t="s">
        <v>465</v>
      </c>
      <c r="E100" s="52" t="s">
        <v>466</v>
      </c>
      <c r="F100" s="122">
        <v>220.0</v>
      </c>
      <c r="G100" s="123"/>
      <c r="H100" s="124" t="b">
        <v>1</v>
      </c>
      <c r="I100" s="125">
        <v>45355.0</v>
      </c>
      <c r="J100" s="121" t="b">
        <v>1</v>
      </c>
      <c r="K100" s="125">
        <v>45355.0</v>
      </c>
      <c r="L100" s="126" t="b">
        <v>1</v>
      </c>
      <c r="M100" s="65">
        <f t="shared" si="1"/>
        <v>45539</v>
      </c>
      <c r="N100" s="54" t="s">
        <v>36</v>
      </c>
    </row>
    <row r="101">
      <c r="A101" s="45">
        <v>99.0</v>
      </c>
      <c r="B101" s="49" t="s">
        <v>474</v>
      </c>
      <c r="C101" s="51"/>
      <c r="D101" s="49" t="s">
        <v>476</v>
      </c>
      <c r="E101" s="52" t="s">
        <v>477</v>
      </c>
      <c r="F101" s="53">
        <v>220.0</v>
      </c>
      <c r="G101" s="42" t="s">
        <v>478</v>
      </c>
      <c r="H101" s="116" t="b">
        <v>0</v>
      </c>
      <c r="I101" s="70"/>
      <c r="J101" s="47" t="b">
        <v>1</v>
      </c>
      <c r="K101" s="74">
        <v>45357.0</v>
      </c>
      <c r="L101" s="61" t="b">
        <v>1</v>
      </c>
      <c r="M101" s="65" t="str">
        <f t="shared" si="1"/>
        <v/>
      </c>
      <c r="N101" s="54" t="s">
        <v>36</v>
      </c>
    </row>
    <row r="102">
      <c r="A102" s="45">
        <v>100.0</v>
      </c>
      <c r="B102" s="49" t="s">
        <v>474</v>
      </c>
      <c r="C102" s="51"/>
      <c r="D102" s="49" t="s">
        <v>476</v>
      </c>
      <c r="E102" s="52" t="s">
        <v>480</v>
      </c>
      <c r="F102" s="53">
        <v>220.0</v>
      </c>
      <c r="G102" s="42" t="s">
        <v>478</v>
      </c>
      <c r="H102" s="116" t="b">
        <v>0</v>
      </c>
      <c r="I102" s="70"/>
      <c r="J102" s="47" t="b">
        <v>1</v>
      </c>
      <c r="K102" s="59"/>
      <c r="L102" s="61" t="b">
        <v>1</v>
      </c>
      <c r="M102" s="65" t="str">
        <f t="shared" si="1"/>
        <v/>
      </c>
      <c r="N102" s="54" t="s">
        <v>36</v>
      </c>
    </row>
    <row r="103">
      <c r="A103" s="45">
        <v>101.0</v>
      </c>
      <c r="B103" s="49" t="s">
        <v>483</v>
      </c>
      <c r="C103" s="51"/>
      <c r="D103" s="49" t="s">
        <v>484</v>
      </c>
      <c r="E103" s="52" t="s">
        <v>485</v>
      </c>
      <c r="F103" s="53">
        <v>220.0</v>
      </c>
      <c r="G103" s="42" t="s">
        <v>486</v>
      </c>
      <c r="H103" s="56" t="b">
        <v>1</v>
      </c>
      <c r="I103" s="70"/>
      <c r="J103" s="51" t="b">
        <v>0</v>
      </c>
      <c r="K103" s="59"/>
      <c r="L103" s="108" t="b">
        <v>0</v>
      </c>
      <c r="M103" s="65" t="str">
        <f t="shared" si="1"/>
        <v/>
      </c>
      <c r="N103" s="54" t="s">
        <v>36</v>
      </c>
    </row>
    <row r="104">
      <c r="A104" s="45">
        <v>102.0</v>
      </c>
      <c r="B104" s="49" t="s">
        <v>489</v>
      </c>
      <c r="C104" s="51"/>
      <c r="D104" s="49" t="s">
        <v>489</v>
      </c>
      <c r="E104" s="52" t="s">
        <v>490</v>
      </c>
      <c r="F104" s="53">
        <v>220.0</v>
      </c>
      <c r="G104" s="42" t="s">
        <v>491</v>
      </c>
      <c r="H104" s="56" t="b">
        <v>1</v>
      </c>
      <c r="I104" s="70"/>
      <c r="J104" s="47" t="b">
        <v>0</v>
      </c>
      <c r="K104" s="59"/>
      <c r="L104" s="61" t="b">
        <v>1</v>
      </c>
      <c r="M104" s="65" t="str">
        <f t="shared" si="1"/>
        <v/>
      </c>
      <c r="N104" s="54" t="s">
        <v>36</v>
      </c>
    </row>
    <row r="105">
      <c r="A105" s="45">
        <v>103.0</v>
      </c>
      <c r="B105" s="49" t="s">
        <v>492</v>
      </c>
      <c r="C105" s="47">
        <v>6.87756018E8</v>
      </c>
      <c r="D105" s="109"/>
      <c r="E105" s="52" t="s">
        <v>494</v>
      </c>
      <c r="F105" s="53">
        <v>220.0</v>
      </c>
      <c r="G105" s="80"/>
      <c r="H105" s="56" t="b">
        <v>1</v>
      </c>
      <c r="I105" s="57">
        <v>45373.0</v>
      </c>
      <c r="J105" s="47" t="b">
        <v>1</v>
      </c>
      <c r="K105" s="59"/>
      <c r="L105" s="61" t="b">
        <v>1</v>
      </c>
      <c r="M105" s="65">
        <f t="shared" si="1"/>
        <v>45557</v>
      </c>
      <c r="N105" s="54" t="s">
        <v>36</v>
      </c>
    </row>
    <row r="106">
      <c r="A106" s="45">
        <v>104.0</v>
      </c>
      <c r="B106" s="49" t="s">
        <v>496</v>
      </c>
      <c r="C106" s="47">
        <v>6.16656772E8</v>
      </c>
      <c r="D106" s="49" t="s">
        <v>497</v>
      </c>
      <c r="E106" s="52" t="s">
        <v>498</v>
      </c>
      <c r="F106" s="53">
        <v>220.0</v>
      </c>
      <c r="G106" s="80"/>
      <c r="H106" s="56" t="b">
        <v>1</v>
      </c>
      <c r="I106" s="104">
        <v>45374.0</v>
      </c>
      <c r="J106" s="47" t="b">
        <v>1</v>
      </c>
      <c r="K106" s="104">
        <v>45374.0</v>
      </c>
      <c r="L106" s="61" t="b">
        <v>1</v>
      </c>
      <c r="M106" s="65">
        <f t="shared" si="1"/>
        <v>45558</v>
      </c>
      <c r="N106" s="54" t="s">
        <v>36</v>
      </c>
    </row>
    <row r="107">
      <c r="A107" s="45">
        <v>105.0</v>
      </c>
      <c r="B107" s="49" t="s">
        <v>500</v>
      </c>
      <c r="C107" s="47">
        <v>6.88636868E8</v>
      </c>
      <c r="D107" s="49" t="s">
        <v>501</v>
      </c>
      <c r="E107" s="52" t="s">
        <v>502</v>
      </c>
      <c r="F107" s="53">
        <v>220.0</v>
      </c>
      <c r="G107" s="80"/>
      <c r="H107" s="56" t="b">
        <v>1</v>
      </c>
      <c r="I107" s="104">
        <v>45381.0</v>
      </c>
      <c r="J107" s="47" t="b">
        <v>1</v>
      </c>
      <c r="K107" s="104">
        <v>45381.0</v>
      </c>
      <c r="L107" s="61" t="b">
        <v>1</v>
      </c>
      <c r="M107" s="65">
        <f t="shared" si="1"/>
        <v>45565</v>
      </c>
      <c r="N107" s="54" t="s">
        <v>36</v>
      </c>
    </row>
    <row r="108">
      <c r="A108" s="45">
        <v>106.0</v>
      </c>
      <c r="B108" s="49" t="s">
        <v>504</v>
      </c>
      <c r="C108" s="47">
        <v>6.2304928E8</v>
      </c>
      <c r="D108" s="49" t="s">
        <v>505</v>
      </c>
      <c r="E108" s="52" t="s">
        <v>506</v>
      </c>
      <c r="F108" s="53">
        <v>330.0</v>
      </c>
      <c r="G108" s="42" t="s">
        <v>507</v>
      </c>
      <c r="H108" s="56" t="b">
        <v>1</v>
      </c>
      <c r="I108" s="104">
        <v>45382.0</v>
      </c>
      <c r="J108" s="47" t="b">
        <v>1</v>
      </c>
      <c r="K108" s="104">
        <v>45382.0</v>
      </c>
      <c r="L108" s="61" t="b">
        <v>1</v>
      </c>
      <c r="M108" s="65">
        <f t="shared" si="1"/>
        <v>45565</v>
      </c>
      <c r="N108" s="54" t="s">
        <v>36</v>
      </c>
    </row>
    <row r="109">
      <c r="A109" s="45">
        <v>107.0</v>
      </c>
      <c r="B109" s="49" t="s">
        <v>508</v>
      </c>
      <c r="C109" s="51"/>
      <c r="D109" s="109"/>
      <c r="E109" s="52" t="s">
        <v>509</v>
      </c>
      <c r="F109" s="53">
        <v>220.0</v>
      </c>
      <c r="G109" s="80"/>
      <c r="H109" s="56" t="b">
        <v>1</v>
      </c>
      <c r="I109" s="104">
        <v>45402.0</v>
      </c>
      <c r="J109" s="47" t="b">
        <v>1</v>
      </c>
      <c r="K109" s="104">
        <v>45402.0</v>
      </c>
      <c r="L109" s="108" t="b">
        <v>0</v>
      </c>
      <c r="M109" s="65">
        <f t="shared" si="1"/>
        <v>45585</v>
      </c>
      <c r="N109" s="54" t="s">
        <v>36</v>
      </c>
    </row>
    <row r="110">
      <c r="A110" s="45">
        <v>108.0</v>
      </c>
      <c r="B110" s="49" t="s">
        <v>511</v>
      </c>
      <c r="C110" s="47">
        <v>6.29288688E8</v>
      </c>
      <c r="D110" s="109"/>
      <c r="E110" s="52" t="s">
        <v>512</v>
      </c>
      <c r="F110" s="53">
        <v>220.0</v>
      </c>
      <c r="G110" s="80"/>
      <c r="H110" s="56" t="b">
        <v>1</v>
      </c>
      <c r="I110" s="70"/>
      <c r="J110" s="47" t="b">
        <v>1</v>
      </c>
      <c r="K110" s="59"/>
      <c r="L110" s="61" t="b">
        <v>1</v>
      </c>
      <c r="M110" s="65" t="str">
        <f t="shared" si="1"/>
        <v/>
      </c>
      <c r="N110" s="54" t="s">
        <v>36</v>
      </c>
    </row>
    <row r="111">
      <c r="A111" s="45">
        <v>109.0</v>
      </c>
      <c r="B111" s="49" t="s">
        <v>513</v>
      </c>
      <c r="C111" s="47">
        <v>6.18557849E8</v>
      </c>
      <c r="D111" s="109"/>
      <c r="E111" s="52" t="s">
        <v>514</v>
      </c>
      <c r="F111" s="53">
        <v>220.0</v>
      </c>
      <c r="G111" s="80"/>
      <c r="H111" s="56" t="b">
        <v>1</v>
      </c>
      <c r="I111" s="70"/>
      <c r="J111" s="47" t="b">
        <v>1</v>
      </c>
      <c r="K111" s="59"/>
      <c r="L111" s="61" t="b">
        <v>1</v>
      </c>
      <c r="M111" s="65" t="str">
        <f t="shared" si="1"/>
        <v/>
      </c>
      <c r="N111" s="54" t="s">
        <v>36</v>
      </c>
    </row>
    <row r="112">
      <c r="A112" s="45">
        <v>110.0</v>
      </c>
      <c r="B112" s="49" t="s">
        <v>483</v>
      </c>
      <c r="C112" s="47">
        <v>6.58727556E8</v>
      </c>
      <c r="D112" s="49" t="s">
        <v>516</v>
      </c>
      <c r="E112" s="52" t="s">
        <v>517</v>
      </c>
      <c r="F112" s="53">
        <v>220.0</v>
      </c>
      <c r="G112" s="80"/>
      <c r="H112" s="56" t="b">
        <v>1</v>
      </c>
      <c r="I112" s="104">
        <v>45429.0</v>
      </c>
      <c r="J112" s="47" t="b">
        <v>1</v>
      </c>
      <c r="K112" s="59"/>
      <c r="L112" s="61" t="b">
        <v>1</v>
      </c>
      <c r="M112" s="65">
        <f t="shared" si="1"/>
        <v>45613</v>
      </c>
      <c r="N112" s="54" t="s">
        <v>36</v>
      </c>
    </row>
    <row r="113">
      <c r="A113" s="45">
        <v>111.0</v>
      </c>
      <c r="B113" s="49" t="s">
        <v>518</v>
      </c>
      <c r="C113" s="47">
        <v>6.56760846E8</v>
      </c>
      <c r="D113" s="109"/>
      <c r="E113" s="52" t="s">
        <v>520</v>
      </c>
      <c r="F113" s="53">
        <v>220.0</v>
      </c>
      <c r="G113" s="80"/>
      <c r="H113" s="56" t="b">
        <v>1</v>
      </c>
      <c r="I113" s="70"/>
      <c r="J113" s="47" t="b">
        <v>1</v>
      </c>
      <c r="K113" s="59"/>
      <c r="L113" s="61" t="b">
        <v>1</v>
      </c>
      <c r="M113" s="65" t="str">
        <f t="shared" si="1"/>
        <v/>
      </c>
      <c r="N113" s="54" t="s">
        <v>36</v>
      </c>
    </row>
    <row r="114">
      <c r="A114" s="45">
        <v>112.0</v>
      </c>
      <c r="B114" s="49" t="s">
        <v>522</v>
      </c>
      <c r="C114" s="47">
        <v>6.34416395E8</v>
      </c>
      <c r="D114" s="109"/>
      <c r="E114" s="52" t="s">
        <v>523</v>
      </c>
      <c r="F114" s="53" t="s">
        <v>524</v>
      </c>
      <c r="G114" s="42" t="s">
        <v>525</v>
      </c>
      <c r="H114" s="56" t="b">
        <v>1</v>
      </c>
      <c r="I114" s="57">
        <v>45443.0</v>
      </c>
      <c r="J114" s="51" t="b">
        <v>0</v>
      </c>
      <c r="K114" s="59"/>
      <c r="L114" s="61" t="b">
        <v>1</v>
      </c>
      <c r="M114" s="65">
        <f t="shared" si="1"/>
        <v>45626</v>
      </c>
      <c r="N114" s="54" t="s">
        <v>36</v>
      </c>
    </row>
    <row r="115">
      <c r="A115" s="45">
        <v>113.0</v>
      </c>
      <c r="B115" s="49" t="s">
        <v>528</v>
      </c>
      <c r="C115" s="47">
        <v>6.85700177E8</v>
      </c>
      <c r="D115" s="49" t="s">
        <v>529</v>
      </c>
      <c r="E115" s="52" t="s">
        <v>530</v>
      </c>
      <c r="F115" s="53">
        <v>220.0</v>
      </c>
      <c r="G115" s="80"/>
      <c r="H115" s="56" t="b">
        <v>1</v>
      </c>
      <c r="I115" s="104">
        <v>45444.0</v>
      </c>
      <c r="J115" s="47" t="b">
        <v>1</v>
      </c>
      <c r="K115" s="104">
        <v>45444.0</v>
      </c>
      <c r="L115" s="61" t="b">
        <v>1</v>
      </c>
      <c r="M115" s="65">
        <f t="shared" si="1"/>
        <v>45627</v>
      </c>
      <c r="N115" s="54" t="s">
        <v>36</v>
      </c>
    </row>
    <row r="116">
      <c r="A116" s="45">
        <v>114.0</v>
      </c>
      <c r="B116" s="49" t="s">
        <v>532</v>
      </c>
      <c r="C116" s="47">
        <v>6.86220197E8</v>
      </c>
      <c r="D116" s="49" t="s">
        <v>533</v>
      </c>
      <c r="E116" s="52" t="s">
        <v>534</v>
      </c>
      <c r="F116" s="53">
        <v>220.0</v>
      </c>
      <c r="G116" s="80"/>
      <c r="H116" s="56" t="b">
        <v>1</v>
      </c>
      <c r="I116" s="70"/>
      <c r="J116" s="47" t="b">
        <v>1</v>
      </c>
      <c r="K116" s="104">
        <v>45448.0</v>
      </c>
      <c r="L116" s="61" t="b">
        <v>0</v>
      </c>
      <c r="M116" s="65" t="str">
        <f t="shared" si="1"/>
        <v/>
      </c>
      <c r="N116" s="118"/>
    </row>
    <row r="117">
      <c r="A117" s="45">
        <v>115.0</v>
      </c>
      <c r="B117" s="49" t="s">
        <v>536</v>
      </c>
      <c r="C117" s="47">
        <v>6.33469624E8</v>
      </c>
      <c r="D117" s="49" t="s">
        <v>537</v>
      </c>
      <c r="E117" s="52" t="s">
        <v>538</v>
      </c>
      <c r="F117" s="53">
        <v>220.0</v>
      </c>
      <c r="G117" s="42" t="s">
        <v>539</v>
      </c>
      <c r="H117" s="56" t="b">
        <v>1</v>
      </c>
      <c r="I117" s="70"/>
      <c r="J117" s="47" t="b">
        <v>1</v>
      </c>
      <c r="K117" s="104">
        <v>45468.0</v>
      </c>
      <c r="L117" s="61" t="b">
        <v>1</v>
      </c>
      <c r="M117" s="65" t="str">
        <f t="shared" si="1"/>
        <v/>
      </c>
      <c r="N117" s="54" t="s">
        <v>36</v>
      </c>
    </row>
    <row r="118">
      <c r="A118" s="45">
        <v>116.0</v>
      </c>
      <c r="B118" s="49" t="s">
        <v>541</v>
      </c>
      <c r="C118" s="47">
        <v>6.29552574E8</v>
      </c>
      <c r="D118" s="49" t="s">
        <v>542</v>
      </c>
      <c r="E118" s="52" t="s">
        <v>543</v>
      </c>
      <c r="F118" s="53">
        <v>220.0</v>
      </c>
      <c r="G118" s="80"/>
      <c r="H118" s="56" t="b">
        <v>1</v>
      </c>
      <c r="I118" s="68">
        <v>45487.0</v>
      </c>
      <c r="J118" s="47" t="b">
        <v>1</v>
      </c>
      <c r="K118" s="68">
        <v>45487.0</v>
      </c>
      <c r="L118" s="61" t="b">
        <v>1</v>
      </c>
      <c r="M118" s="65">
        <f t="shared" si="1"/>
        <v>45671</v>
      </c>
      <c r="N118" s="54" t="s">
        <v>36</v>
      </c>
    </row>
    <row r="119">
      <c r="A119" s="45">
        <v>117.0</v>
      </c>
      <c r="B119" s="49" t="s">
        <v>544</v>
      </c>
      <c r="C119" s="47">
        <v>6.88801029E8</v>
      </c>
      <c r="D119" s="109"/>
      <c r="E119" s="52" t="s">
        <v>545</v>
      </c>
      <c r="F119" s="53">
        <v>220.0</v>
      </c>
      <c r="G119" s="42"/>
      <c r="H119" s="56" t="b">
        <v>1</v>
      </c>
      <c r="I119" s="104">
        <v>45489.0</v>
      </c>
      <c r="J119" s="47" t="b">
        <v>1</v>
      </c>
      <c r="K119" s="104">
        <v>45489.0</v>
      </c>
      <c r="L119" s="61" t="b">
        <v>1</v>
      </c>
      <c r="M119" s="65">
        <f t="shared" si="1"/>
        <v>45673</v>
      </c>
      <c r="N119" s="54" t="s">
        <v>36</v>
      </c>
    </row>
    <row r="120">
      <c r="A120" s="45">
        <v>118.0</v>
      </c>
      <c r="B120" s="49" t="s">
        <v>548</v>
      </c>
      <c r="C120" s="47">
        <v>6.18401227E8</v>
      </c>
      <c r="D120" s="49" t="s">
        <v>549</v>
      </c>
      <c r="E120" s="52" t="s">
        <v>550</v>
      </c>
      <c r="F120" s="53">
        <v>220.0</v>
      </c>
      <c r="G120" s="42"/>
      <c r="H120" s="56" t="b">
        <v>1</v>
      </c>
      <c r="I120" s="104">
        <v>45493.0</v>
      </c>
      <c r="J120" s="47" t="b">
        <v>1</v>
      </c>
      <c r="K120" s="104">
        <v>45493.0</v>
      </c>
      <c r="L120" s="61" t="b">
        <v>1</v>
      </c>
      <c r="M120" s="65">
        <f t="shared" si="1"/>
        <v>45677</v>
      </c>
      <c r="N120" s="54" t="s">
        <v>36</v>
      </c>
    </row>
    <row r="121">
      <c r="A121" s="45">
        <v>119.0</v>
      </c>
      <c r="B121" s="136" t="s">
        <v>95</v>
      </c>
      <c r="C121" s="47">
        <v>6.3570618E8</v>
      </c>
      <c r="D121" s="49" t="s">
        <v>552</v>
      </c>
      <c r="E121" s="52" t="s">
        <v>553</v>
      </c>
      <c r="F121" s="53">
        <v>220.0</v>
      </c>
      <c r="G121" s="80"/>
      <c r="H121" s="56" t="b">
        <v>1</v>
      </c>
      <c r="I121" s="104">
        <v>45492.0</v>
      </c>
      <c r="J121" s="47" t="b">
        <v>1</v>
      </c>
      <c r="K121" s="104">
        <v>45492.0</v>
      </c>
      <c r="L121" s="61" t="b">
        <v>0</v>
      </c>
      <c r="M121" s="65">
        <f t="shared" si="1"/>
        <v>45676</v>
      </c>
      <c r="N121" s="54" t="s">
        <v>36</v>
      </c>
    </row>
    <row r="122">
      <c r="A122" s="45">
        <v>120.0</v>
      </c>
      <c r="B122" s="49" t="s">
        <v>556</v>
      </c>
      <c r="C122" s="47">
        <v>6.64029771E8</v>
      </c>
      <c r="D122" s="49" t="s">
        <v>557</v>
      </c>
      <c r="E122" s="52" t="s">
        <v>558</v>
      </c>
      <c r="F122" s="53">
        <v>220.0</v>
      </c>
      <c r="G122" s="80"/>
      <c r="H122" s="56" t="b">
        <v>1</v>
      </c>
      <c r="I122" s="104">
        <v>45506.0</v>
      </c>
      <c r="J122" s="47" t="b">
        <v>1</v>
      </c>
      <c r="K122" s="104">
        <v>45506.0</v>
      </c>
      <c r="L122" s="61" t="b">
        <v>1</v>
      </c>
      <c r="M122" s="65">
        <f t="shared" si="1"/>
        <v>45690</v>
      </c>
      <c r="N122" s="54" t="s">
        <v>36</v>
      </c>
    </row>
    <row r="123">
      <c r="A123" s="45">
        <v>121.0</v>
      </c>
      <c r="B123" s="49" t="s">
        <v>560</v>
      </c>
      <c r="C123" s="47">
        <v>6.35759473E8</v>
      </c>
      <c r="D123" s="109"/>
      <c r="E123" s="52" t="s">
        <v>561</v>
      </c>
      <c r="F123" s="53">
        <v>220.0</v>
      </c>
      <c r="G123" s="42" t="s">
        <v>562</v>
      </c>
      <c r="H123" s="56" t="b">
        <v>1</v>
      </c>
      <c r="I123" s="104">
        <v>45527.0</v>
      </c>
      <c r="J123" s="51" t="b">
        <v>0</v>
      </c>
      <c r="K123" s="59"/>
      <c r="L123" s="61" t="b">
        <v>1</v>
      </c>
      <c r="M123" s="65">
        <f t="shared" si="1"/>
        <v>45711</v>
      </c>
      <c r="N123" s="54" t="s">
        <v>36</v>
      </c>
    </row>
    <row r="124">
      <c r="A124" s="45">
        <v>122.0</v>
      </c>
      <c r="B124" s="49" t="s">
        <v>564</v>
      </c>
      <c r="C124" s="47">
        <v>6.47315642E8</v>
      </c>
      <c r="D124" s="109"/>
      <c r="E124" s="52" t="s">
        <v>566</v>
      </c>
      <c r="F124" s="53">
        <v>220.0</v>
      </c>
      <c r="G124" s="80"/>
      <c r="H124" s="56" t="b">
        <v>1</v>
      </c>
      <c r="I124" s="104">
        <v>45545.0</v>
      </c>
      <c r="J124" s="51" t="b">
        <v>0</v>
      </c>
      <c r="K124" s="59"/>
      <c r="L124" s="61" t="b">
        <v>1</v>
      </c>
      <c r="M124" s="65">
        <f t="shared" si="1"/>
        <v>45726</v>
      </c>
      <c r="N124" s="54" t="s">
        <v>36</v>
      </c>
    </row>
    <row r="125">
      <c r="A125" s="45">
        <v>123.0</v>
      </c>
      <c r="B125" s="49" t="s">
        <v>567</v>
      </c>
      <c r="C125" s="47" t="s">
        <v>568</v>
      </c>
      <c r="D125" s="49" t="s">
        <v>570</v>
      </c>
      <c r="E125" s="52" t="s">
        <v>571</v>
      </c>
      <c r="F125" s="53" t="s">
        <v>95</v>
      </c>
      <c r="G125" s="42"/>
      <c r="H125" s="56" t="b">
        <v>1</v>
      </c>
      <c r="I125" s="104">
        <v>45546.0</v>
      </c>
      <c r="J125" s="51" t="b">
        <v>0</v>
      </c>
      <c r="K125" s="104">
        <v>45546.0</v>
      </c>
      <c r="L125" s="108" t="b">
        <v>0</v>
      </c>
      <c r="M125" s="65">
        <f t="shared" si="1"/>
        <v>45727</v>
      </c>
      <c r="N125" s="54" t="s">
        <v>36</v>
      </c>
    </row>
    <row r="126">
      <c r="A126" s="45">
        <v>124.0</v>
      </c>
      <c r="B126" s="49" t="s">
        <v>574</v>
      </c>
      <c r="C126" s="47">
        <v>6.03800091E8</v>
      </c>
      <c r="D126" s="109"/>
      <c r="E126" s="52" t="s">
        <v>575</v>
      </c>
      <c r="F126" s="53" t="s">
        <v>95</v>
      </c>
      <c r="G126" s="42" t="s">
        <v>576</v>
      </c>
      <c r="H126" s="116" t="b">
        <v>0</v>
      </c>
      <c r="I126" s="104">
        <v>45549.0</v>
      </c>
      <c r="J126" s="51" t="b">
        <v>0</v>
      </c>
      <c r="K126" s="59"/>
      <c r="L126" s="108" t="b">
        <v>0</v>
      </c>
      <c r="M126" s="65">
        <f t="shared" si="1"/>
        <v>45730</v>
      </c>
      <c r="N126" s="54" t="s">
        <v>36</v>
      </c>
    </row>
    <row r="127">
      <c r="A127" s="45">
        <v>125.0</v>
      </c>
      <c r="B127" s="49" t="s">
        <v>578</v>
      </c>
      <c r="C127" s="47">
        <v>6.47442525E8</v>
      </c>
      <c r="D127" s="109"/>
      <c r="E127" s="52" t="s">
        <v>579</v>
      </c>
      <c r="F127" s="53" t="s">
        <v>95</v>
      </c>
      <c r="G127" s="42" t="s">
        <v>580</v>
      </c>
      <c r="H127" s="116" t="b">
        <v>0</v>
      </c>
      <c r="I127" s="104">
        <v>45553.0</v>
      </c>
      <c r="J127" s="51" t="b">
        <v>0</v>
      </c>
      <c r="K127" s="59"/>
      <c r="L127" s="108" t="b">
        <v>0</v>
      </c>
      <c r="M127" s="65">
        <f t="shared" si="1"/>
        <v>45734</v>
      </c>
      <c r="N127" s="54" t="s">
        <v>36</v>
      </c>
    </row>
    <row r="128">
      <c r="A128" s="45">
        <v>126.0</v>
      </c>
      <c r="B128" s="49" t="s">
        <v>583</v>
      </c>
      <c r="C128" s="137">
        <v>6.59410395E8</v>
      </c>
      <c r="D128" s="138"/>
      <c r="E128" s="52" t="s">
        <v>584</v>
      </c>
      <c r="F128" s="53" t="s">
        <v>95</v>
      </c>
      <c r="G128" s="80"/>
      <c r="H128" s="56" t="b">
        <v>1</v>
      </c>
      <c r="I128" s="104">
        <v>45570.0</v>
      </c>
      <c r="J128" s="47" t="b">
        <v>0</v>
      </c>
      <c r="K128" s="104"/>
      <c r="L128" s="61" t="b">
        <v>1</v>
      </c>
      <c r="M128" s="65">
        <f t="shared" si="1"/>
        <v>45752</v>
      </c>
      <c r="N128" s="54" t="s">
        <v>36</v>
      </c>
    </row>
    <row r="129">
      <c r="A129" s="45">
        <v>127.0</v>
      </c>
      <c r="B129" s="49" t="s">
        <v>587</v>
      </c>
      <c r="C129" s="47">
        <v>6.19024286E8</v>
      </c>
      <c r="D129" s="139"/>
      <c r="E129" s="52" t="s">
        <v>588</v>
      </c>
      <c r="F129" s="79"/>
      <c r="G129" s="80"/>
      <c r="H129" s="56" t="b">
        <v>1</v>
      </c>
      <c r="I129" s="104">
        <v>45573.0</v>
      </c>
      <c r="J129" s="51" t="b">
        <v>0</v>
      </c>
      <c r="K129" s="59"/>
      <c r="L129" s="61" t="b">
        <v>1</v>
      </c>
      <c r="M129" s="65">
        <f t="shared" si="1"/>
        <v>45755</v>
      </c>
      <c r="N129" s="54" t="s">
        <v>36</v>
      </c>
    </row>
    <row r="130">
      <c r="A130" s="45">
        <v>128.0</v>
      </c>
      <c r="B130" s="49" t="s">
        <v>590</v>
      </c>
      <c r="C130" s="47">
        <v>6.52766483E8</v>
      </c>
      <c r="D130" s="49" t="s">
        <v>592</v>
      </c>
      <c r="E130" s="52" t="s">
        <v>593</v>
      </c>
      <c r="F130" s="79"/>
      <c r="G130" s="80"/>
      <c r="H130" s="56" t="b">
        <v>1</v>
      </c>
      <c r="I130" s="104"/>
      <c r="J130" s="47" t="b">
        <v>1</v>
      </c>
      <c r="K130" s="59"/>
      <c r="L130" s="61" t="b">
        <v>1</v>
      </c>
      <c r="M130" s="65" t="str">
        <f t="shared" si="1"/>
        <v/>
      </c>
      <c r="N130" s="54" t="s">
        <v>36</v>
      </c>
    </row>
    <row r="131">
      <c r="A131" s="45">
        <v>129.0</v>
      </c>
      <c r="B131" s="49" t="s">
        <v>595</v>
      </c>
      <c r="C131" s="47">
        <v>6.3574773E8</v>
      </c>
      <c r="D131" s="109"/>
      <c r="E131" s="52" t="s">
        <v>596</v>
      </c>
      <c r="F131" s="79"/>
      <c r="G131" s="80"/>
      <c r="H131" s="56" t="b">
        <v>1</v>
      </c>
      <c r="I131" s="70"/>
      <c r="J131" s="47" t="b">
        <v>1</v>
      </c>
      <c r="K131" s="59"/>
      <c r="L131" s="61" t="b">
        <v>1</v>
      </c>
      <c r="M131" s="65" t="str">
        <f t="shared" si="1"/>
        <v/>
      </c>
      <c r="N131" s="54" t="s">
        <v>36</v>
      </c>
    </row>
    <row r="132">
      <c r="A132" s="45">
        <v>130.0</v>
      </c>
      <c r="B132" s="49" t="s">
        <v>595</v>
      </c>
      <c r="C132" s="47">
        <v>6.3574773E8</v>
      </c>
      <c r="D132" s="109"/>
      <c r="E132" s="52" t="s">
        <v>599</v>
      </c>
      <c r="F132" s="79"/>
      <c r="G132" s="80"/>
      <c r="H132" s="56" t="b">
        <v>1</v>
      </c>
      <c r="I132" s="70"/>
      <c r="J132" s="47" t="b">
        <v>1</v>
      </c>
      <c r="K132" s="59"/>
      <c r="L132" s="61" t="b">
        <v>1</v>
      </c>
      <c r="M132" s="65" t="str">
        <f t="shared" si="1"/>
        <v/>
      </c>
      <c r="N132" s="54" t="s">
        <v>36</v>
      </c>
    </row>
    <row r="133">
      <c r="A133" s="45">
        <v>131.0</v>
      </c>
      <c r="B133" s="49" t="s">
        <v>601</v>
      </c>
      <c r="C133" s="51"/>
      <c r="D133" s="109"/>
      <c r="E133" s="52" t="s">
        <v>602</v>
      </c>
      <c r="F133" s="79"/>
      <c r="G133" s="80"/>
      <c r="H133" s="56" t="b">
        <v>1</v>
      </c>
      <c r="I133" s="70"/>
      <c r="J133" s="51" t="b">
        <v>0</v>
      </c>
      <c r="K133" s="59"/>
      <c r="L133" s="61" t="b">
        <v>1</v>
      </c>
      <c r="M133" s="65" t="str">
        <f t="shared" si="1"/>
        <v/>
      </c>
      <c r="N133" s="54" t="s">
        <v>36</v>
      </c>
    </row>
    <row r="134">
      <c r="A134" s="45">
        <v>132.0</v>
      </c>
      <c r="B134" s="49" t="s">
        <v>605</v>
      </c>
      <c r="C134" s="47" t="s">
        <v>606</v>
      </c>
      <c r="D134" s="109"/>
      <c r="E134" s="52" t="s">
        <v>607</v>
      </c>
      <c r="F134" s="79"/>
      <c r="G134" s="80"/>
      <c r="H134" s="56" t="b">
        <v>1</v>
      </c>
      <c r="I134" s="104">
        <v>45601.0</v>
      </c>
      <c r="J134" s="47" t="b">
        <v>1</v>
      </c>
      <c r="K134" s="140">
        <f>I134</f>
        <v>45601</v>
      </c>
      <c r="L134" s="61" t="b">
        <v>1</v>
      </c>
      <c r="M134" s="65">
        <f t="shared" si="1"/>
        <v>45782</v>
      </c>
      <c r="N134" s="54" t="s">
        <v>36</v>
      </c>
    </row>
    <row r="135">
      <c r="A135" s="45">
        <v>133.0</v>
      </c>
      <c r="B135" s="49" t="s">
        <v>611</v>
      </c>
      <c r="C135" s="47">
        <v>6.35207676E8</v>
      </c>
      <c r="D135" s="49" t="s">
        <v>612</v>
      </c>
      <c r="E135" s="52" t="s">
        <v>613</v>
      </c>
      <c r="F135" s="53"/>
      <c r="G135" s="42" t="s">
        <v>614</v>
      </c>
      <c r="H135" s="56" t="b">
        <v>1</v>
      </c>
      <c r="I135" s="141">
        <v>45617.0</v>
      </c>
      <c r="J135" s="51" t="b">
        <v>0</v>
      </c>
      <c r="K135" s="59"/>
      <c r="L135" s="61" t="b">
        <v>0</v>
      </c>
      <c r="M135" s="65">
        <f t="shared" si="1"/>
        <v>45798</v>
      </c>
      <c r="N135" s="54" t="s">
        <v>36</v>
      </c>
    </row>
    <row r="136">
      <c r="A136" s="45">
        <v>134.0</v>
      </c>
      <c r="B136" s="49" t="s">
        <v>616</v>
      </c>
      <c r="C136" s="47">
        <v>6.47415174E8</v>
      </c>
      <c r="D136" s="49" t="s">
        <v>617</v>
      </c>
      <c r="E136" s="52" t="s">
        <v>618</v>
      </c>
      <c r="F136" s="79"/>
      <c r="G136" s="80"/>
      <c r="H136" s="56" t="b">
        <v>1</v>
      </c>
      <c r="I136" s="68">
        <v>45643.0</v>
      </c>
      <c r="J136" s="47" t="b">
        <v>1</v>
      </c>
      <c r="K136" s="68">
        <v>45643.0</v>
      </c>
      <c r="L136" s="61" t="b">
        <v>1</v>
      </c>
      <c r="M136" s="65">
        <f t="shared" si="1"/>
        <v>45825</v>
      </c>
      <c r="N136" s="54" t="s">
        <v>36</v>
      </c>
    </row>
    <row r="137">
      <c r="A137" s="45">
        <v>135.0</v>
      </c>
      <c r="B137" s="49" t="s">
        <v>622</v>
      </c>
      <c r="C137" s="47">
        <v>6.8880048E8</v>
      </c>
      <c r="D137" s="109"/>
      <c r="E137" s="52" t="s">
        <v>623</v>
      </c>
      <c r="F137" s="53">
        <v>220.0</v>
      </c>
      <c r="G137" s="80"/>
      <c r="H137" s="56" t="b">
        <v>1</v>
      </c>
      <c r="I137" s="68">
        <v>45652.0</v>
      </c>
      <c r="J137" s="47" t="b">
        <v>1</v>
      </c>
      <c r="K137" s="68">
        <v>45652.0</v>
      </c>
      <c r="L137" s="61" t="b">
        <v>1</v>
      </c>
      <c r="M137" s="65">
        <f t="shared" si="1"/>
        <v>45834</v>
      </c>
      <c r="N137" s="54" t="s">
        <v>36</v>
      </c>
    </row>
    <row r="138">
      <c r="A138" s="45">
        <v>136.0</v>
      </c>
      <c r="B138" s="49" t="s">
        <v>625</v>
      </c>
      <c r="C138" s="142"/>
      <c r="D138" s="109"/>
      <c r="E138" s="52" t="s">
        <v>628</v>
      </c>
      <c r="F138" s="53">
        <v>220.0</v>
      </c>
      <c r="G138" s="47" t="s">
        <v>629</v>
      </c>
      <c r="H138" s="116" t="b">
        <v>0</v>
      </c>
      <c r="I138" s="68">
        <v>45662.0</v>
      </c>
      <c r="J138" s="51" t="b">
        <v>0</v>
      </c>
      <c r="K138" s="68">
        <v>45662.0</v>
      </c>
      <c r="L138" s="61" t="b">
        <v>1</v>
      </c>
      <c r="M138" s="65">
        <f t="shared" si="1"/>
        <v>45843</v>
      </c>
      <c r="N138" s="54" t="s">
        <v>36</v>
      </c>
    </row>
    <row r="139">
      <c r="A139" s="45">
        <v>137.0</v>
      </c>
      <c r="B139" s="49" t="s">
        <v>631</v>
      </c>
      <c r="C139" s="47">
        <v>6.15086137E8</v>
      </c>
      <c r="D139" s="109"/>
      <c r="E139" s="52" t="s">
        <v>632</v>
      </c>
      <c r="F139" s="53">
        <v>220.0</v>
      </c>
      <c r="G139" s="80"/>
      <c r="H139" s="56" t="b">
        <v>1</v>
      </c>
      <c r="I139" s="68">
        <v>45687.0</v>
      </c>
      <c r="J139" s="47" t="b">
        <v>1</v>
      </c>
      <c r="K139" s="59"/>
      <c r="L139" s="61" t="b">
        <v>0</v>
      </c>
      <c r="M139" s="65">
        <f t="shared" si="1"/>
        <v>45868</v>
      </c>
      <c r="N139" s="54" t="s">
        <v>36</v>
      </c>
    </row>
    <row r="140">
      <c r="A140" s="45">
        <v>138.0</v>
      </c>
      <c r="B140" s="49" t="s">
        <v>634</v>
      </c>
      <c r="C140" s="47">
        <v>6.21275134E8</v>
      </c>
      <c r="D140" s="109"/>
      <c r="E140" s="52" t="s">
        <v>635</v>
      </c>
      <c r="F140" s="53">
        <v>220.0</v>
      </c>
      <c r="G140" s="80"/>
      <c r="H140" s="56" t="b">
        <v>1</v>
      </c>
      <c r="I140" s="141">
        <v>45689.0</v>
      </c>
      <c r="J140" s="47" t="b">
        <v>1</v>
      </c>
      <c r="K140" s="141">
        <v>45688.0</v>
      </c>
      <c r="L140" s="61" t="b">
        <v>1</v>
      </c>
      <c r="M140" s="65">
        <f t="shared" si="1"/>
        <v>45870</v>
      </c>
      <c r="N140" s="54" t="s">
        <v>36</v>
      </c>
    </row>
    <row r="141">
      <c r="A141" s="45">
        <v>139.0</v>
      </c>
      <c r="B141" s="49" t="s">
        <v>240</v>
      </c>
      <c r="C141" s="51"/>
      <c r="D141" s="109"/>
      <c r="E141" s="52" t="s">
        <v>636</v>
      </c>
      <c r="F141" s="53">
        <v>220.0</v>
      </c>
      <c r="G141" s="42"/>
      <c r="H141" s="56" t="b">
        <v>1</v>
      </c>
      <c r="I141" s="68">
        <v>45689.0</v>
      </c>
      <c r="J141" s="51" t="b">
        <v>0</v>
      </c>
      <c r="K141" s="144" t="s">
        <v>638</v>
      </c>
      <c r="L141" s="61" t="b">
        <v>1</v>
      </c>
      <c r="M141" s="65">
        <f t="shared" si="1"/>
        <v>45870</v>
      </c>
      <c r="N141" s="54" t="s">
        <v>36</v>
      </c>
    </row>
    <row r="142">
      <c r="A142" s="45">
        <v>140.0</v>
      </c>
      <c r="B142" s="49" t="s">
        <v>639</v>
      </c>
      <c r="C142" s="51"/>
      <c r="D142" s="109"/>
      <c r="E142" s="52" t="s">
        <v>640</v>
      </c>
      <c r="F142" s="53">
        <v>220.0</v>
      </c>
      <c r="G142" s="47" t="s">
        <v>641</v>
      </c>
      <c r="H142" s="56" t="b">
        <v>1</v>
      </c>
      <c r="I142" s="68">
        <v>45696.0</v>
      </c>
      <c r="J142" s="51" t="b">
        <v>0</v>
      </c>
      <c r="K142" s="144" t="s">
        <v>638</v>
      </c>
      <c r="L142" s="61" t="b">
        <v>1</v>
      </c>
      <c r="M142" s="65">
        <f t="shared" si="1"/>
        <v>45877</v>
      </c>
      <c r="N142" s="54" t="s">
        <v>36</v>
      </c>
    </row>
    <row r="143">
      <c r="A143" s="45">
        <v>141.0</v>
      </c>
      <c r="B143" s="49" t="s">
        <v>644</v>
      </c>
      <c r="C143" s="47">
        <v>6.03419164E8</v>
      </c>
      <c r="D143" s="109"/>
      <c r="E143" s="52" t="s">
        <v>645</v>
      </c>
      <c r="F143" s="53">
        <v>220.0</v>
      </c>
      <c r="G143" s="80"/>
      <c r="H143" s="56" t="b">
        <v>1</v>
      </c>
      <c r="I143" s="68">
        <v>45707.0</v>
      </c>
      <c r="J143" s="47" t="b">
        <v>1</v>
      </c>
      <c r="K143" s="145">
        <f>I143</f>
        <v>45707</v>
      </c>
      <c r="L143" s="61" t="b">
        <v>1</v>
      </c>
      <c r="M143" s="65">
        <f t="shared" si="1"/>
        <v>45888</v>
      </c>
      <c r="N143" s="54" t="s">
        <v>36</v>
      </c>
    </row>
    <row r="144">
      <c r="A144" s="45">
        <v>142.0</v>
      </c>
      <c r="B144" s="49" t="s">
        <v>651</v>
      </c>
      <c r="C144" s="47">
        <v>6.88644001E8</v>
      </c>
      <c r="D144" s="109"/>
      <c r="E144" s="52" t="s">
        <v>652</v>
      </c>
      <c r="F144" s="53">
        <v>220.0</v>
      </c>
      <c r="G144" s="80"/>
      <c r="H144" s="56" t="b">
        <v>1</v>
      </c>
      <c r="I144" s="104">
        <v>45709.0</v>
      </c>
      <c r="J144" s="47" t="b">
        <v>1</v>
      </c>
      <c r="K144" s="104">
        <v>45709.0</v>
      </c>
      <c r="L144" s="61" t="b">
        <v>1</v>
      </c>
      <c r="M144" s="65">
        <f t="shared" si="1"/>
        <v>45890</v>
      </c>
      <c r="N144" s="54" t="s">
        <v>36</v>
      </c>
    </row>
    <row r="145">
      <c r="A145" s="45">
        <v>143.0</v>
      </c>
      <c r="B145" s="49" t="s">
        <v>656</v>
      </c>
      <c r="C145" s="47">
        <v>6.09804886E8</v>
      </c>
      <c r="D145" s="109"/>
      <c r="E145" s="52" t="s">
        <v>657</v>
      </c>
      <c r="F145" s="53" t="s">
        <v>658</v>
      </c>
      <c r="G145" s="42" t="s">
        <v>659</v>
      </c>
      <c r="H145" s="56" t="b">
        <v>1</v>
      </c>
      <c r="I145" s="68">
        <v>45737.0</v>
      </c>
      <c r="J145" s="51" t="b">
        <v>0</v>
      </c>
      <c r="K145" s="144" t="s">
        <v>660</v>
      </c>
      <c r="L145" s="61" t="b">
        <v>1</v>
      </c>
      <c r="M145" s="65">
        <f t="shared" si="1"/>
        <v>45921</v>
      </c>
      <c r="N145" s="54" t="s">
        <v>36</v>
      </c>
    </row>
    <row r="146">
      <c r="A146" s="45">
        <v>144.0</v>
      </c>
      <c r="B146" s="49" t="s">
        <v>662</v>
      </c>
      <c r="C146" s="47">
        <v>6.56751554E8</v>
      </c>
      <c r="D146" s="109"/>
      <c r="E146" s="52" t="s">
        <v>663</v>
      </c>
      <c r="F146" s="53">
        <v>220.0</v>
      </c>
      <c r="G146" s="42" t="s">
        <v>665</v>
      </c>
      <c r="H146" s="56" t="b">
        <v>1</v>
      </c>
      <c r="I146" s="104">
        <v>45743.0</v>
      </c>
      <c r="J146" s="47" t="b">
        <v>1</v>
      </c>
      <c r="K146" s="140">
        <f>I146</f>
        <v>45743</v>
      </c>
      <c r="L146" s="61" t="b">
        <v>1</v>
      </c>
      <c r="M146" s="65">
        <f t="shared" si="1"/>
        <v>45927</v>
      </c>
      <c r="N146" s="54" t="s">
        <v>36</v>
      </c>
    </row>
    <row r="147">
      <c r="A147" s="45">
        <v>145.0</v>
      </c>
      <c r="B147" s="49" t="s">
        <v>667</v>
      </c>
      <c r="C147" s="47">
        <v>6.9954674E8</v>
      </c>
      <c r="D147" s="109"/>
      <c r="E147" s="52" t="s">
        <v>668</v>
      </c>
      <c r="F147" s="53">
        <v>220.0</v>
      </c>
      <c r="G147" s="80"/>
      <c r="H147" s="56" t="b">
        <v>1</v>
      </c>
      <c r="I147" s="68">
        <v>45745.0</v>
      </c>
      <c r="J147" s="47" t="b">
        <v>1</v>
      </c>
      <c r="K147" s="68">
        <v>45745.0</v>
      </c>
      <c r="L147" s="61" t="b">
        <v>1</v>
      </c>
      <c r="M147" s="65">
        <f t="shared" si="1"/>
        <v>45929</v>
      </c>
      <c r="N147" s="54" t="s">
        <v>36</v>
      </c>
    </row>
    <row r="148">
      <c r="A148" s="45">
        <v>146.0</v>
      </c>
      <c r="B148" s="49" t="s">
        <v>489</v>
      </c>
      <c r="C148" s="47">
        <v>6.47588109E8</v>
      </c>
      <c r="D148" s="49" t="s">
        <v>671</v>
      </c>
      <c r="E148" s="52" t="s">
        <v>672</v>
      </c>
      <c r="F148" s="53">
        <v>220.0</v>
      </c>
      <c r="G148" s="42" t="s">
        <v>673</v>
      </c>
      <c r="H148" s="56" t="b">
        <v>1</v>
      </c>
      <c r="I148" s="104">
        <v>45748.0</v>
      </c>
      <c r="J148" s="51" t="b">
        <v>0</v>
      </c>
      <c r="K148" s="59"/>
      <c r="L148" s="61" t="b">
        <v>1</v>
      </c>
      <c r="M148" s="65">
        <f t="shared" si="1"/>
        <v>45931</v>
      </c>
      <c r="N148" s="54" t="s">
        <v>36</v>
      </c>
    </row>
    <row r="149">
      <c r="A149" s="45">
        <v>147.0</v>
      </c>
      <c r="B149" s="49" t="s">
        <v>675</v>
      </c>
      <c r="C149" s="47">
        <v>6.15004521E8</v>
      </c>
      <c r="D149" s="109"/>
      <c r="E149" s="52" t="s">
        <v>676</v>
      </c>
      <c r="F149" s="53">
        <v>220.0</v>
      </c>
      <c r="G149" s="80"/>
      <c r="H149" s="56" t="b">
        <v>1</v>
      </c>
      <c r="I149" s="68">
        <v>45761.0</v>
      </c>
      <c r="J149" s="47" t="b">
        <v>1</v>
      </c>
      <c r="K149" s="68">
        <f t="shared" ref="K149:K150" si="2">I149</f>
        <v>45761</v>
      </c>
      <c r="L149" s="61" t="b">
        <v>1</v>
      </c>
      <c r="M149" s="65">
        <f t="shared" si="1"/>
        <v>45944</v>
      </c>
      <c r="N149" s="54" t="s">
        <v>36</v>
      </c>
    </row>
    <row r="150">
      <c r="A150" s="45">
        <v>148.0</v>
      </c>
      <c r="B150" s="49" t="s">
        <v>680</v>
      </c>
      <c r="C150" s="47">
        <v>6.88716359E8</v>
      </c>
      <c r="D150" s="109"/>
      <c r="E150" s="52" t="s">
        <v>682</v>
      </c>
      <c r="F150" s="53">
        <v>220.0</v>
      </c>
      <c r="G150" s="80"/>
      <c r="H150" s="56" t="b">
        <v>1</v>
      </c>
      <c r="I150" s="68">
        <v>45779.0</v>
      </c>
      <c r="J150" s="47" t="b">
        <v>1</v>
      </c>
      <c r="K150" s="145">
        <f t="shared" si="2"/>
        <v>45779</v>
      </c>
      <c r="L150" s="61" t="b">
        <v>1</v>
      </c>
      <c r="M150" s="65">
        <f t="shared" si="1"/>
        <v>45963</v>
      </c>
      <c r="N150" s="54" t="s">
        <v>36</v>
      </c>
    </row>
    <row r="151">
      <c r="A151" s="45">
        <v>149.0</v>
      </c>
      <c r="B151" s="49" t="s">
        <v>685</v>
      </c>
      <c r="C151" s="47">
        <v>6.1864678E8</v>
      </c>
      <c r="D151" s="109"/>
      <c r="E151" s="52" t="s">
        <v>686</v>
      </c>
      <c r="F151" s="53">
        <v>220.0</v>
      </c>
      <c r="G151" s="80"/>
      <c r="H151" s="56" t="b">
        <v>1</v>
      </c>
      <c r="I151" s="104">
        <v>45780.0</v>
      </c>
      <c r="J151" s="47" t="b">
        <v>1</v>
      </c>
      <c r="K151" s="104">
        <v>45780.0</v>
      </c>
      <c r="L151" s="61" t="b">
        <v>1</v>
      </c>
      <c r="M151" s="65">
        <f t="shared" si="1"/>
        <v>45964</v>
      </c>
      <c r="N151" s="54" t="s">
        <v>36</v>
      </c>
    </row>
    <row r="152">
      <c r="A152" s="45">
        <v>150.0</v>
      </c>
      <c r="B152" s="49" t="s">
        <v>689</v>
      </c>
      <c r="C152" s="47">
        <v>6.53741169E8</v>
      </c>
      <c r="D152" s="109"/>
      <c r="E152" s="52" t="s">
        <v>690</v>
      </c>
      <c r="F152" s="53">
        <v>220.0</v>
      </c>
      <c r="G152" s="146" t="s">
        <v>691</v>
      </c>
      <c r="H152" s="56" t="b">
        <v>1</v>
      </c>
      <c r="I152" s="68">
        <v>45785.0</v>
      </c>
      <c r="J152" s="47" t="b">
        <v>1</v>
      </c>
      <c r="K152" s="145">
        <f>I152</f>
        <v>45785</v>
      </c>
      <c r="L152" s="61" t="b">
        <v>1</v>
      </c>
      <c r="M152" s="65">
        <f t="shared" si="1"/>
        <v>45969</v>
      </c>
      <c r="N152" s="54" t="s">
        <v>36</v>
      </c>
    </row>
    <row r="153">
      <c r="A153" s="45">
        <v>151.0</v>
      </c>
      <c r="B153" s="49" t="s">
        <v>694</v>
      </c>
      <c r="C153" s="51"/>
      <c r="D153" s="109"/>
      <c r="E153" s="52" t="s">
        <v>695</v>
      </c>
      <c r="F153" s="53">
        <v>220.0</v>
      </c>
      <c r="G153" s="42" t="s">
        <v>696</v>
      </c>
      <c r="H153" s="56" t="b">
        <v>1</v>
      </c>
      <c r="I153" s="68">
        <v>45790.0</v>
      </c>
      <c r="J153" s="51" t="b">
        <v>0</v>
      </c>
      <c r="K153" s="59"/>
      <c r="L153" s="61" t="b">
        <v>1</v>
      </c>
      <c r="M153" s="65">
        <f t="shared" si="1"/>
        <v>45974</v>
      </c>
      <c r="N153" s="54" t="s">
        <v>36</v>
      </c>
    </row>
    <row r="154">
      <c r="A154" s="45">
        <v>152.0</v>
      </c>
      <c r="B154" s="49" t="s">
        <v>697</v>
      </c>
      <c r="C154" s="51"/>
      <c r="D154" s="109"/>
      <c r="E154" s="52" t="s">
        <v>698</v>
      </c>
      <c r="F154" s="53">
        <v>220.0</v>
      </c>
      <c r="G154" s="80"/>
      <c r="H154" s="56" t="b">
        <v>1</v>
      </c>
      <c r="I154" s="70"/>
      <c r="J154" s="47" t="b">
        <v>1</v>
      </c>
      <c r="K154" s="59"/>
      <c r="L154" s="61" t="b">
        <v>1</v>
      </c>
      <c r="M154" s="65" t="str">
        <f t="shared" si="1"/>
        <v/>
      </c>
      <c r="N154" s="54" t="s">
        <v>36</v>
      </c>
    </row>
    <row r="155">
      <c r="A155" s="45">
        <v>153.0</v>
      </c>
      <c r="B155" s="49" t="s">
        <v>701</v>
      </c>
      <c r="C155" s="47">
        <v>6.06301976E8</v>
      </c>
      <c r="D155" s="109"/>
      <c r="E155" s="52" t="s">
        <v>702</v>
      </c>
      <c r="F155" s="53">
        <v>300.0</v>
      </c>
      <c r="G155" s="42" t="s">
        <v>703</v>
      </c>
      <c r="H155" s="56" t="b">
        <v>1</v>
      </c>
      <c r="I155" s="68">
        <v>45820.0</v>
      </c>
      <c r="J155" s="47" t="b">
        <v>1</v>
      </c>
      <c r="K155" s="145">
        <f t="shared" ref="K155:K157" si="3">I155</f>
        <v>45820</v>
      </c>
      <c r="L155" s="61" t="b">
        <v>1</v>
      </c>
      <c r="M155" s="65">
        <f t="shared" si="1"/>
        <v>46003</v>
      </c>
      <c r="N155" s="54" t="s">
        <v>36</v>
      </c>
    </row>
    <row r="156">
      <c r="A156" s="45">
        <v>154.0</v>
      </c>
      <c r="B156" s="49" t="s">
        <v>706</v>
      </c>
      <c r="C156" s="47">
        <v>6.88650606E8</v>
      </c>
      <c r="D156" s="109"/>
      <c r="E156" s="52" t="s">
        <v>707</v>
      </c>
      <c r="F156" s="53">
        <v>220.0</v>
      </c>
      <c r="G156" s="42" t="s">
        <v>708</v>
      </c>
      <c r="H156" s="56" t="b">
        <v>1</v>
      </c>
      <c r="I156" s="104">
        <v>45822.0</v>
      </c>
      <c r="J156" s="47" t="b">
        <v>1</v>
      </c>
      <c r="K156" s="140">
        <f t="shared" si="3"/>
        <v>45822</v>
      </c>
      <c r="L156" s="61" t="b">
        <v>1</v>
      </c>
      <c r="M156" s="65">
        <f t="shared" si="1"/>
        <v>46005</v>
      </c>
      <c r="N156" s="54" t="s">
        <v>36</v>
      </c>
    </row>
    <row r="157">
      <c r="A157" s="45">
        <v>155.0</v>
      </c>
      <c r="B157" s="49" t="s">
        <v>706</v>
      </c>
      <c r="C157" s="47">
        <v>6.88650606E8</v>
      </c>
      <c r="D157" s="109"/>
      <c r="E157" s="52" t="s">
        <v>710</v>
      </c>
      <c r="F157" s="53">
        <v>220.0</v>
      </c>
      <c r="G157" s="42" t="s">
        <v>712</v>
      </c>
      <c r="H157" s="56" t="b">
        <v>1</v>
      </c>
      <c r="I157" s="104">
        <v>45822.0</v>
      </c>
      <c r="J157" s="47" t="b">
        <v>1</v>
      </c>
      <c r="K157" s="140">
        <f t="shared" si="3"/>
        <v>45822</v>
      </c>
      <c r="L157" s="61" t="b">
        <v>1</v>
      </c>
      <c r="M157" s="65">
        <f t="shared" si="1"/>
        <v>46005</v>
      </c>
      <c r="N157" s="54" t="s">
        <v>36</v>
      </c>
    </row>
    <row r="158">
      <c r="A158" s="45">
        <v>156.0</v>
      </c>
      <c r="B158" s="49" t="s">
        <v>714</v>
      </c>
      <c r="C158" s="47">
        <v>6.6953042E8</v>
      </c>
      <c r="D158" s="109"/>
      <c r="E158" s="52" t="s">
        <v>715</v>
      </c>
      <c r="F158" s="53">
        <v>220.0</v>
      </c>
      <c r="G158" s="80"/>
      <c r="H158" s="56" t="b">
        <v>1</v>
      </c>
      <c r="I158" s="104">
        <v>45828.0</v>
      </c>
      <c r="J158" s="47" t="b">
        <v>1</v>
      </c>
      <c r="K158" s="104">
        <v>45828.0</v>
      </c>
      <c r="L158" s="61" t="b">
        <v>1</v>
      </c>
      <c r="M158" s="65">
        <f t="shared" si="1"/>
        <v>46011</v>
      </c>
      <c r="N158" s="54" t="s">
        <v>36</v>
      </c>
    </row>
    <row r="159">
      <c r="A159" s="45">
        <v>157.0</v>
      </c>
      <c r="B159" s="49" t="s">
        <v>717</v>
      </c>
      <c r="C159" s="47">
        <v>6.90272531E8</v>
      </c>
      <c r="D159" s="109"/>
      <c r="E159" s="52" t="s">
        <v>718</v>
      </c>
      <c r="F159" s="53">
        <v>220.0</v>
      </c>
      <c r="G159" s="80"/>
      <c r="H159" s="56" t="b">
        <v>1</v>
      </c>
      <c r="I159" s="68">
        <v>45830.0</v>
      </c>
      <c r="J159" s="47" t="b">
        <v>1</v>
      </c>
      <c r="K159" s="145">
        <f>I159</f>
        <v>45830</v>
      </c>
      <c r="L159" s="61" t="b">
        <v>1</v>
      </c>
      <c r="M159" s="65">
        <f t="shared" si="1"/>
        <v>46013</v>
      </c>
      <c r="N159" s="54" t="s">
        <v>36</v>
      </c>
    </row>
    <row r="160">
      <c r="A160" s="45">
        <v>158.0</v>
      </c>
      <c r="B160" s="49" t="s">
        <v>722</v>
      </c>
      <c r="C160" s="51"/>
      <c r="D160" s="109"/>
      <c r="E160" s="52" t="s">
        <v>723</v>
      </c>
      <c r="F160" s="53">
        <v>220.0</v>
      </c>
      <c r="G160" s="80"/>
      <c r="H160" s="56" t="b">
        <v>1</v>
      </c>
      <c r="I160" s="104">
        <v>45834.0</v>
      </c>
      <c r="J160" s="47" t="b">
        <v>1</v>
      </c>
      <c r="K160" s="68">
        <v>45834.0</v>
      </c>
      <c r="L160" s="108" t="b">
        <v>0</v>
      </c>
      <c r="M160" s="65">
        <f t="shared" si="1"/>
        <v>46017</v>
      </c>
      <c r="N160" s="54" t="s">
        <v>36</v>
      </c>
    </row>
    <row r="161">
      <c r="A161" s="45">
        <v>159.0</v>
      </c>
      <c r="B161" s="49" t="s">
        <v>726</v>
      </c>
      <c r="C161" s="51"/>
      <c r="D161" s="109"/>
      <c r="E161" s="52" t="s">
        <v>727</v>
      </c>
      <c r="F161" s="53">
        <v>220.0</v>
      </c>
      <c r="G161" s="80"/>
      <c r="H161" s="56" t="b">
        <v>1</v>
      </c>
      <c r="I161" s="104">
        <v>45836.0</v>
      </c>
      <c r="J161" s="47" t="b">
        <v>1</v>
      </c>
      <c r="K161" s="104">
        <v>45836.0</v>
      </c>
      <c r="L161" s="61" t="b">
        <v>1</v>
      </c>
      <c r="M161" s="65">
        <f t="shared" si="1"/>
        <v>46019</v>
      </c>
      <c r="N161" s="54" t="s">
        <v>36</v>
      </c>
    </row>
    <row r="162">
      <c r="A162" s="45">
        <v>160.0</v>
      </c>
      <c r="B162" s="49" t="s">
        <v>730</v>
      </c>
      <c r="C162" s="47">
        <v>6.33469624E8</v>
      </c>
      <c r="D162" s="109"/>
      <c r="E162" s="52" t="s">
        <v>731</v>
      </c>
      <c r="F162" s="53">
        <v>220.0</v>
      </c>
      <c r="G162" s="42" t="s">
        <v>732</v>
      </c>
      <c r="H162" s="56" t="b">
        <v>1</v>
      </c>
      <c r="I162" s="104">
        <v>45848.0</v>
      </c>
      <c r="J162" s="47" t="b">
        <v>1</v>
      </c>
      <c r="K162" s="104">
        <v>45848.0</v>
      </c>
      <c r="L162" s="61" t="b">
        <v>1</v>
      </c>
      <c r="M162" s="65">
        <f t="shared" si="1"/>
        <v>46032</v>
      </c>
      <c r="N162" s="54" t="s">
        <v>36</v>
      </c>
    </row>
    <row r="163">
      <c r="A163" s="45">
        <v>161.0</v>
      </c>
      <c r="B163" s="49" t="s">
        <v>734</v>
      </c>
      <c r="C163" s="51"/>
      <c r="D163" s="109"/>
      <c r="E163" s="52" t="s">
        <v>735</v>
      </c>
      <c r="F163" s="53">
        <v>220.0</v>
      </c>
      <c r="G163" s="42" t="s">
        <v>736</v>
      </c>
      <c r="H163" s="56" t="b">
        <v>1</v>
      </c>
      <c r="I163" s="104">
        <v>45861.0</v>
      </c>
      <c r="J163" s="47" t="b">
        <v>1</v>
      </c>
      <c r="K163" s="104">
        <v>45861.0</v>
      </c>
      <c r="L163" s="61" t="b">
        <v>1</v>
      </c>
      <c r="M163" s="65">
        <f t="shared" si="1"/>
        <v>46045</v>
      </c>
      <c r="N163" s="54" t="s">
        <v>36</v>
      </c>
    </row>
    <row r="164">
      <c r="A164" s="45">
        <v>162.0</v>
      </c>
      <c r="B164" s="49" t="s">
        <v>734</v>
      </c>
      <c r="C164" s="51"/>
      <c r="D164" s="109"/>
      <c r="E164" s="52" t="s">
        <v>737</v>
      </c>
      <c r="F164" s="53">
        <v>220.0</v>
      </c>
      <c r="G164" s="42" t="s">
        <v>738</v>
      </c>
      <c r="H164" s="56" t="b">
        <v>1</v>
      </c>
      <c r="I164" s="104">
        <v>45861.0</v>
      </c>
      <c r="J164" s="47" t="b">
        <v>1</v>
      </c>
      <c r="K164" s="104">
        <v>45861.0</v>
      </c>
      <c r="L164" s="108" t="b">
        <v>0</v>
      </c>
      <c r="M164" s="65">
        <f t="shared" si="1"/>
        <v>46045</v>
      </c>
      <c r="N164" s="54" t="s">
        <v>36</v>
      </c>
    </row>
    <row r="165">
      <c r="A165" s="45">
        <v>163.0</v>
      </c>
      <c r="B165" s="49" t="s">
        <v>740</v>
      </c>
      <c r="C165" s="47">
        <v>6.19356392E8</v>
      </c>
      <c r="D165" s="109"/>
      <c r="E165" s="52" t="s">
        <v>741</v>
      </c>
      <c r="F165" s="53">
        <v>220.0</v>
      </c>
      <c r="G165" s="42" t="s">
        <v>742</v>
      </c>
      <c r="H165" s="56" t="b">
        <v>1</v>
      </c>
      <c r="I165" s="104">
        <v>45870.0</v>
      </c>
      <c r="J165" s="47" t="b">
        <v>1</v>
      </c>
      <c r="K165" s="104">
        <v>45870.0</v>
      </c>
      <c r="L165" s="61" t="b">
        <v>1</v>
      </c>
      <c r="M165" s="65">
        <f t="shared" si="1"/>
        <v>46054</v>
      </c>
      <c r="N165" s="54" t="s">
        <v>36</v>
      </c>
    </row>
    <row r="166">
      <c r="A166" s="45">
        <v>164.0</v>
      </c>
      <c r="B166" s="49" t="s">
        <v>745</v>
      </c>
      <c r="C166" s="47">
        <v>6.88610118E8</v>
      </c>
      <c r="D166" s="49" t="s">
        <v>746</v>
      </c>
      <c r="E166" s="52" t="s">
        <v>35</v>
      </c>
      <c r="F166" s="53">
        <v>200.0</v>
      </c>
      <c r="G166" s="42" t="s">
        <v>747</v>
      </c>
      <c r="H166" s="116" t="b">
        <v>0</v>
      </c>
      <c r="I166" s="70"/>
      <c r="J166" s="51" t="b">
        <v>0</v>
      </c>
      <c r="K166" s="59"/>
      <c r="L166" s="108" t="b">
        <v>0</v>
      </c>
      <c r="M166" s="65" t="str">
        <f t="shared" si="1"/>
        <v/>
      </c>
      <c r="N166" s="118"/>
    </row>
    <row r="167">
      <c r="A167" s="45">
        <v>165.0</v>
      </c>
      <c r="B167" s="49" t="s">
        <v>748</v>
      </c>
      <c r="C167" s="47">
        <v>6.90272531E8</v>
      </c>
      <c r="D167" s="49" t="s">
        <v>750</v>
      </c>
      <c r="E167" s="52" t="s">
        <v>751</v>
      </c>
      <c r="F167" s="53">
        <v>220.0</v>
      </c>
      <c r="G167" s="42" t="s">
        <v>753</v>
      </c>
      <c r="H167" s="56" t="b">
        <v>1</v>
      </c>
      <c r="I167" s="68">
        <v>45891.0</v>
      </c>
      <c r="J167" s="47" t="b">
        <v>1</v>
      </c>
      <c r="K167" s="145">
        <f t="shared" ref="K167:K168" si="4">I167</f>
        <v>45891</v>
      </c>
      <c r="L167" s="61" t="b">
        <v>1</v>
      </c>
      <c r="M167" s="65">
        <f t="shared" si="1"/>
        <v>46075</v>
      </c>
      <c r="N167" s="54" t="s">
        <v>36</v>
      </c>
    </row>
    <row r="168">
      <c r="A168" s="45">
        <v>166.0</v>
      </c>
      <c r="B168" s="49" t="s">
        <v>754</v>
      </c>
      <c r="C168" s="47">
        <v>9.43653063E8</v>
      </c>
      <c r="D168" s="109"/>
      <c r="E168" s="52" t="s">
        <v>755</v>
      </c>
      <c r="F168" s="53">
        <v>330.0</v>
      </c>
      <c r="G168" s="42" t="s">
        <v>758</v>
      </c>
      <c r="H168" s="56" t="b">
        <v>1</v>
      </c>
      <c r="I168" s="68">
        <v>45909.0</v>
      </c>
      <c r="J168" s="47" t="b">
        <v>1</v>
      </c>
      <c r="K168" s="145">
        <f t="shared" si="4"/>
        <v>45909</v>
      </c>
      <c r="L168" s="61" t="b">
        <v>1</v>
      </c>
      <c r="M168" s="65">
        <f t="shared" si="1"/>
        <v>46090</v>
      </c>
      <c r="N168" s="54" t="s">
        <v>36</v>
      </c>
    </row>
    <row r="169">
      <c r="A169" s="45">
        <v>167.0</v>
      </c>
      <c r="B169" s="49" t="s">
        <v>759</v>
      </c>
      <c r="C169" s="51"/>
      <c r="D169" s="109"/>
      <c r="E169" s="52" t="s">
        <v>760</v>
      </c>
      <c r="F169" s="53">
        <v>220.0</v>
      </c>
      <c r="G169" s="42" t="s">
        <v>761</v>
      </c>
      <c r="H169" s="56" t="b">
        <v>1</v>
      </c>
      <c r="I169" s="104">
        <v>45911.0</v>
      </c>
      <c r="J169" s="47" t="b">
        <v>1</v>
      </c>
      <c r="K169" s="59"/>
      <c r="L169" s="61" t="b">
        <v>1</v>
      </c>
      <c r="M169" s="65">
        <f t="shared" si="1"/>
        <v>46092</v>
      </c>
      <c r="N169" s="54" t="s">
        <v>36</v>
      </c>
    </row>
    <row r="170">
      <c r="A170" s="45">
        <v>168.0</v>
      </c>
      <c r="B170" s="49" t="s">
        <v>762</v>
      </c>
      <c r="C170" s="51"/>
      <c r="D170" s="109"/>
      <c r="E170" s="52" t="s">
        <v>764</v>
      </c>
      <c r="F170" s="53">
        <v>220.0</v>
      </c>
      <c r="G170" s="42" t="s">
        <v>766</v>
      </c>
      <c r="H170" s="56" t="b">
        <v>1</v>
      </c>
      <c r="I170" s="104">
        <v>45917.0</v>
      </c>
      <c r="J170" s="47" t="b">
        <v>1</v>
      </c>
      <c r="K170" s="104">
        <v>45917.0</v>
      </c>
      <c r="L170" s="61" t="b">
        <v>1</v>
      </c>
      <c r="M170" s="65">
        <f t="shared" si="1"/>
        <v>46098</v>
      </c>
      <c r="N170" s="54" t="s">
        <v>36</v>
      </c>
    </row>
    <row r="171">
      <c r="A171" s="45">
        <v>169.0</v>
      </c>
      <c r="B171" s="49" t="s">
        <v>767</v>
      </c>
      <c r="C171" s="51"/>
      <c r="D171" s="109"/>
      <c r="E171" s="52" t="s">
        <v>768</v>
      </c>
      <c r="F171" s="53">
        <v>220.0</v>
      </c>
      <c r="G171" s="42" t="s">
        <v>769</v>
      </c>
      <c r="H171" s="56" t="b">
        <v>1</v>
      </c>
      <c r="I171" s="104">
        <v>45919.0</v>
      </c>
      <c r="J171" s="47" t="b">
        <v>1</v>
      </c>
      <c r="K171" s="104">
        <v>45919.0</v>
      </c>
      <c r="L171" s="61" t="b">
        <v>1</v>
      </c>
      <c r="M171" s="65">
        <f t="shared" si="1"/>
        <v>46100</v>
      </c>
      <c r="N171" s="54" t="s">
        <v>36</v>
      </c>
    </row>
    <row r="172">
      <c r="A172" s="45">
        <v>170.0</v>
      </c>
      <c r="B172" s="49" t="s">
        <v>770</v>
      </c>
      <c r="C172" s="51">
        <v>6.09118105E8</v>
      </c>
      <c r="D172" s="109" t="s">
        <v>771</v>
      </c>
      <c r="E172" s="52" t="s">
        <v>772</v>
      </c>
      <c r="F172" s="53">
        <v>220.0</v>
      </c>
      <c r="G172" s="42" t="s">
        <v>773</v>
      </c>
      <c r="H172" s="56" t="b">
        <v>1</v>
      </c>
      <c r="I172" s="149">
        <v>45922.0</v>
      </c>
      <c r="J172" s="47" t="b">
        <v>1</v>
      </c>
      <c r="K172" s="104">
        <v>45922.0</v>
      </c>
      <c r="L172" s="61" t="b">
        <v>0</v>
      </c>
      <c r="M172" s="65">
        <f t="shared" si="1"/>
        <v>46103</v>
      </c>
      <c r="N172" s="54" t="s">
        <v>36</v>
      </c>
    </row>
    <row r="173">
      <c r="A173" s="45">
        <v>171.0</v>
      </c>
      <c r="B173" s="49" t="s">
        <v>776</v>
      </c>
      <c r="C173" s="51"/>
      <c r="D173" s="142"/>
      <c r="E173" s="52" t="s">
        <v>777</v>
      </c>
      <c r="F173" s="53">
        <v>225.0</v>
      </c>
      <c r="G173" s="42">
        <v>30425.0</v>
      </c>
      <c r="H173" s="56" t="b">
        <v>1</v>
      </c>
      <c r="I173" s="68">
        <v>45940.0</v>
      </c>
      <c r="J173" s="47" t="b">
        <v>1</v>
      </c>
      <c r="K173" s="68">
        <v>45940.0</v>
      </c>
      <c r="L173" s="61" t="b">
        <v>1</v>
      </c>
      <c r="M173" s="65">
        <f t="shared" si="1"/>
        <v>46122</v>
      </c>
      <c r="N173" s="54" t="s">
        <v>36</v>
      </c>
    </row>
    <row r="174">
      <c r="A174" s="45">
        <v>172.0</v>
      </c>
      <c r="B174" s="49" t="s">
        <v>778</v>
      </c>
      <c r="C174" s="47">
        <v>6.67751367E8</v>
      </c>
      <c r="D174" s="109"/>
      <c r="E174" s="150" t="s">
        <v>780</v>
      </c>
      <c r="F174" s="53">
        <v>225.0</v>
      </c>
      <c r="G174" s="42" t="s">
        <v>781</v>
      </c>
      <c r="H174" s="116" t="b">
        <v>0</v>
      </c>
      <c r="I174" s="70"/>
      <c r="J174" s="51" t="b">
        <v>0</v>
      </c>
      <c r="K174" s="59"/>
      <c r="L174" s="108" t="b">
        <v>0</v>
      </c>
      <c r="M174" s="65" t="str">
        <f t="shared" si="1"/>
        <v/>
      </c>
      <c r="N174" s="151"/>
    </row>
    <row r="175">
      <c r="A175" s="45">
        <v>173.0</v>
      </c>
      <c r="B175" s="49" t="s">
        <v>784</v>
      </c>
      <c r="C175" s="51"/>
      <c r="D175" s="109"/>
      <c r="E175" s="150" t="s">
        <v>785</v>
      </c>
      <c r="F175" s="53">
        <v>225.0</v>
      </c>
      <c r="G175" s="42" t="s">
        <v>786</v>
      </c>
      <c r="H175" s="56" t="b">
        <v>1</v>
      </c>
      <c r="I175" s="68">
        <v>45974.0</v>
      </c>
      <c r="J175" s="47" t="b">
        <v>1</v>
      </c>
      <c r="K175" s="59"/>
      <c r="L175" s="61" t="b">
        <v>1</v>
      </c>
      <c r="M175" s="65">
        <f t="shared" si="1"/>
        <v>46155</v>
      </c>
      <c r="N175" s="54" t="s">
        <v>36</v>
      </c>
    </row>
    <row r="176">
      <c r="A176" s="45">
        <v>174.0</v>
      </c>
      <c r="B176" s="49" t="s">
        <v>784</v>
      </c>
      <c r="C176" s="51"/>
      <c r="D176" s="109"/>
      <c r="E176" s="52">
        <v>3625.0</v>
      </c>
      <c r="F176" s="53">
        <v>225.0</v>
      </c>
      <c r="G176" s="80"/>
      <c r="H176" s="56" t="b">
        <v>0</v>
      </c>
      <c r="I176" s="68"/>
      <c r="J176" s="47" t="b">
        <v>0</v>
      </c>
      <c r="K176" s="68"/>
      <c r="L176" s="108" t="b">
        <v>0</v>
      </c>
      <c r="M176" s="65" t="str">
        <f t="shared" si="1"/>
        <v/>
      </c>
      <c r="N176" s="151"/>
    </row>
    <row r="177">
      <c r="A177" s="45">
        <v>175.0</v>
      </c>
      <c r="B177" s="49" t="s">
        <v>790</v>
      </c>
      <c r="C177" s="51"/>
      <c r="D177" s="109"/>
      <c r="E177" s="150" t="s">
        <v>791</v>
      </c>
      <c r="F177" s="53">
        <v>225.0</v>
      </c>
      <c r="G177" s="80"/>
      <c r="H177" s="56" t="b">
        <v>1</v>
      </c>
      <c r="I177" s="68">
        <v>45986.0</v>
      </c>
      <c r="J177" s="47" t="b">
        <v>1</v>
      </c>
      <c r="K177" s="68">
        <v>45986.0</v>
      </c>
      <c r="L177" s="108" t="b">
        <v>0</v>
      </c>
      <c r="M177" s="65">
        <f t="shared" si="1"/>
        <v>46167</v>
      </c>
      <c r="N177" s="54" t="s">
        <v>36</v>
      </c>
    </row>
    <row r="178">
      <c r="A178" s="45">
        <v>176.0</v>
      </c>
      <c r="B178" s="49" t="s">
        <v>790</v>
      </c>
      <c r="C178" s="51"/>
      <c r="D178" s="109"/>
      <c r="E178" s="150" t="s">
        <v>793</v>
      </c>
      <c r="F178" s="53">
        <v>225.0</v>
      </c>
      <c r="G178" s="42" t="s">
        <v>353</v>
      </c>
      <c r="H178" s="56" t="b">
        <v>1</v>
      </c>
      <c r="I178" s="68">
        <v>45986.0</v>
      </c>
      <c r="J178" s="47" t="b">
        <v>1</v>
      </c>
      <c r="K178" s="68">
        <v>45986.0</v>
      </c>
      <c r="L178" s="61" t="b">
        <v>0</v>
      </c>
      <c r="M178" s="65">
        <f t="shared" si="1"/>
        <v>46167</v>
      </c>
      <c r="N178" s="54" t="s">
        <v>36</v>
      </c>
    </row>
    <row r="179">
      <c r="A179" s="45">
        <v>177.0</v>
      </c>
      <c r="B179" s="155" t="s">
        <v>795</v>
      </c>
      <c r="C179" s="51"/>
      <c r="D179" s="109"/>
      <c r="E179" s="52" t="s">
        <v>797</v>
      </c>
      <c r="F179" s="53">
        <v>225.0</v>
      </c>
      <c r="G179" s="42" t="s">
        <v>798</v>
      </c>
      <c r="H179" s="56" t="b">
        <v>1</v>
      </c>
      <c r="I179" s="141"/>
      <c r="J179" s="47" t="b">
        <v>1</v>
      </c>
      <c r="K179" s="144" t="s">
        <v>673</v>
      </c>
      <c r="L179" s="61" t="b">
        <v>1</v>
      </c>
      <c r="M179" s="65" t="str">
        <f t="shared" si="1"/>
        <v/>
      </c>
      <c r="N179" s="54" t="s">
        <v>36</v>
      </c>
    </row>
    <row r="180">
      <c r="A180" s="45">
        <v>178.0</v>
      </c>
      <c r="B180" s="49" t="s">
        <v>795</v>
      </c>
      <c r="C180" s="51"/>
      <c r="D180" s="109"/>
      <c r="E180" s="52" t="s">
        <v>801</v>
      </c>
      <c r="F180" s="53">
        <v>225.0</v>
      </c>
      <c r="G180" s="42" t="s">
        <v>798</v>
      </c>
      <c r="H180" s="56" t="b">
        <v>1</v>
      </c>
      <c r="I180" s="70"/>
      <c r="J180" s="47" t="b">
        <v>0</v>
      </c>
      <c r="K180" s="144" t="s">
        <v>673</v>
      </c>
      <c r="L180" s="61" t="b">
        <v>1</v>
      </c>
      <c r="M180" s="65" t="str">
        <f t="shared" si="1"/>
        <v/>
      </c>
      <c r="N180" s="54" t="s">
        <v>36</v>
      </c>
    </row>
    <row r="181">
      <c r="A181" s="45">
        <v>179.0</v>
      </c>
      <c r="B181" s="49" t="s">
        <v>795</v>
      </c>
      <c r="C181" s="51"/>
      <c r="D181" s="109"/>
      <c r="E181" s="52" t="s">
        <v>803</v>
      </c>
      <c r="F181" s="53">
        <v>225.0</v>
      </c>
      <c r="G181" s="42" t="s">
        <v>798</v>
      </c>
      <c r="H181" s="56" t="b">
        <v>1</v>
      </c>
      <c r="I181" s="70"/>
      <c r="J181" s="51" t="b">
        <v>0</v>
      </c>
      <c r="K181" s="144" t="s">
        <v>673</v>
      </c>
      <c r="L181" s="61" t="b">
        <v>1</v>
      </c>
      <c r="M181" s="65" t="str">
        <f t="shared" si="1"/>
        <v/>
      </c>
      <c r="N181" s="54" t="s">
        <v>36</v>
      </c>
    </row>
    <row r="182">
      <c r="A182" s="45">
        <v>180.0</v>
      </c>
      <c r="B182" s="49" t="s">
        <v>795</v>
      </c>
      <c r="C182" s="51"/>
      <c r="D182" s="109"/>
      <c r="E182" s="52" t="s">
        <v>807</v>
      </c>
      <c r="F182" s="53">
        <v>225.0</v>
      </c>
      <c r="G182" s="42" t="s">
        <v>798</v>
      </c>
      <c r="H182" s="56" t="b">
        <v>1</v>
      </c>
      <c r="I182" s="70"/>
      <c r="J182" s="47" t="b">
        <v>1</v>
      </c>
      <c r="K182" s="144" t="s">
        <v>673</v>
      </c>
      <c r="L182" s="61" t="b">
        <v>1</v>
      </c>
      <c r="M182" s="65" t="str">
        <f t="shared" si="1"/>
        <v/>
      </c>
      <c r="N182" s="54" t="s">
        <v>36</v>
      </c>
    </row>
    <row r="183">
      <c r="A183" s="45">
        <v>181.0</v>
      </c>
      <c r="B183" s="49" t="s">
        <v>795</v>
      </c>
      <c r="C183" s="51"/>
      <c r="D183" s="109"/>
      <c r="E183" s="52" t="s">
        <v>809</v>
      </c>
      <c r="F183" s="53">
        <v>225.0</v>
      </c>
      <c r="G183" s="42" t="s">
        <v>798</v>
      </c>
      <c r="H183" s="56" t="b">
        <v>1</v>
      </c>
      <c r="I183" s="70"/>
      <c r="J183" s="51" t="b">
        <v>0</v>
      </c>
      <c r="K183" s="144" t="s">
        <v>673</v>
      </c>
      <c r="L183" s="61" t="b">
        <v>1</v>
      </c>
      <c r="M183" s="65" t="str">
        <f t="shared" si="1"/>
        <v/>
      </c>
      <c r="N183" s="54" t="s">
        <v>36</v>
      </c>
    </row>
    <row r="184">
      <c r="A184" s="45">
        <v>182.0</v>
      </c>
      <c r="B184" s="49" t="s">
        <v>795</v>
      </c>
      <c r="C184" s="51"/>
      <c r="D184" s="109"/>
      <c r="E184" s="52" t="s">
        <v>811</v>
      </c>
      <c r="F184" s="53">
        <v>225.0</v>
      </c>
      <c r="G184" s="42" t="s">
        <v>798</v>
      </c>
      <c r="H184" s="56" t="b">
        <v>1</v>
      </c>
      <c r="I184" s="70"/>
      <c r="J184" s="47" t="b">
        <v>0</v>
      </c>
      <c r="K184" s="144" t="s">
        <v>673</v>
      </c>
      <c r="L184" s="61" t="b">
        <v>1</v>
      </c>
      <c r="M184" s="65" t="str">
        <f t="shared" si="1"/>
        <v/>
      </c>
      <c r="N184" s="54" t="s">
        <v>36</v>
      </c>
    </row>
    <row r="185">
      <c r="A185" s="45">
        <v>183.0</v>
      </c>
      <c r="B185" s="49" t="s">
        <v>795</v>
      </c>
      <c r="C185" s="51"/>
      <c r="D185" s="109"/>
      <c r="E185" s="52" t="s">
        <v>812</v>
      </c>
      <c r="F185" s="53">
        <v>225.0</v>
      </c>
      <c r="G185" s="42" t="s">
        <v>798</v>
      </c>
      <c r="H185" s="56" t="b">
        <v>1</v>
      </c>
      <c r="I185" s="70"/>
      <c r="J185" s="47" t="b">
        <v>0</v>
      </c>
      <c r="K185" s="144" t="s">
        <v>673</v>
      </c>
      <c r="L185" s="61" t="b">
        <v>1</v>
      </c>
      <c r="M185" s="65" t="str">
        <f t="shared" si="1"/>
        <v/>
      </c>
      <c r="N185" s="54" t="s">
        <v>36</v>
      </c>
    </row>
    <row r="186">
      <c r="A186" s="45">
        <v>184.0</v>
      </c>
      <c r="B186" s="49" t="s">
        <v>795</v>
      </c>
      <c r="C186" s="51"/>
      <c r="D186" s="109"/>
      <c r="E186" s="52" t="s">
        <v>814</v>
      </c>
      <c r="F186" s="53">
        <v>225.0</v>
      </c>
      <c r="G186" s="42" t="s">
        <v>798</v>
      </c>
      <c r="H186" s="56" t="b">
        <v>1</v>
      </c>
      <c r="I186" s="70"/>
      <c r="J186" s="51" t="b">
        <v>0</v>
      </c>
      <c r="K186" s="144" t="s">
        <v>673</v>
      </c>
      <c r="L186" s="61" t="b">
        <v>1</v>
      </c>
      <c r="M186" s="65" t="str">
        <f t="shared" si="1"/>
        <v/>
      </c>
      <c r="N186" s="54" t="s">
        <v>36</v>
      </c>
    </row>
    <row r="187">
      <c r="A187" s="45">
        <v>185.0</v>
      </c>
      <c r="B187" s="49" t="s">
        <v>795</v>
      </c>
      <c r="C187" s="51"/>
      <c r="D187" s="109"/>
      <c r="E187" s="52" t="s">
        <v>816</v>
      </c>
      <c r="F187" s="53">
        <v>225.0</v>
      </c>
      <c r="G187" s="42" t="s">
        <v>798</v>
      </c>
      <c r="H187" s="56" t="b">
        <v>1</v>
      </c>
      <c r="I187" s="70"/>
      <c r="J187" s="51" t="b">
        <v>0</v>
      </c>
      <c r="K187" s="144" t="s">
        <v>673</v>
      </c>
      <c r="L187" s="108" t="b">
        <v>0</v>
      </c>
      <c r="M187" s="65" t="str">
        <f t="shared" si="1"/>
        <v/>
      </c>
      <c r="N187" s="158" t="s">
        <v>817</v>
      </c>
    </row>
    <row r="188">
      <c r="A188" s="45">
        <v>186.0</v>
      </c>
      <c r="B188" s="49" t="s">
        <v>795</v>
      </c>
      <c r="C188" s="51"/>
      <c r="D188" s="109"/>
      <c r="E188" s="52" t="s">
        <v>819</v>
      </c>
      <c r="F188" s="53">
        <v>225.0</v>
      </c>
      <c r="G188" s="42" t="s">
        <v>798</v>
      </c>
      <c r="H188" s="56" t="b">
        <v>1</v>
      </c>
      <c r="I188" s="70"/>
      <c r="J188" s="51" t="b">
        <v>0</v>
      </c>
      <c r="K188" s="144" t="s">
        <v>673</v>
      </c>
      <c r="L188" s="61" t="b">
        <v>1</v>
      </c>
      <c r="M188" s="65" t="str">
        <f t="shared" si="1"/>
        <v/>
      </c>
      <c r="N188" s="54" t="s">
        <v>36</v>
      </c>
    </row>
    <row r="189">
      <c r="A189" s="45">
        <v>187.0</v>
      </c>
      <c r="B189" s="49" t="s">
        <v>795</v>
      </c>
      <c r="C189" s="51"/>
      <c r="D189" s="109"/>
      <c r="E189" s="52" t="s">
        <v>821</v>
      </c>
      <c r="F189" s="53">
        <v>225.0</v>
      </c>
      <c r="G189" s="42" t="s">
        <v>798</v>
      </c>
      <c r="H189" s="56" t="b">
        <v>1</v>
      </c>
      <c r="I189" s="70"/>
      <c r="J189" s="51" t="b">
        <v>0</v>
      </c>
      <c r="K189" s="144" t="s">
        <v>673</v>
      </c>
      <c r="L189" s="61" t="b">
        <v>1</v>
      </c>
      <c r="M189" s="65" t="str">
        <f t="shared" si="1"/>
        <v/>
      </c>
      <c r="N189" s="54" t="s">
        <v>36</v>
      </c>
    </row>
    <row r="190">
      <c r="A190" s="45">
        <v>188.0</v>
      </c>
      <c r="B190" s="49" t="s">
        <v>795</v>
      </c>
      <c r="C190" s="51"/>
      <c r="D190" s="109"/>
      <c r="E190" s="52" t="s">
        <v>823</v>
      </c>
      <c r="F190" s="53">
        <v>225.0</v>
      </c>
      <c r="G190" s="42" t="s">
        <v>798</v>
      </c>
      <c r="H190" s="56" t="b">
        <v>1</v>
      </c>
      <c r="I190" s="70"/>
      <c r="J190" s="51" t="b">
        <v>0</v>
      </c>
      <c r="K190" s="144" t="s">
        <v>673</v>
      </c>
      <c r="L190" s="108" t="b">
        <v>0</v>
      </c>
      <c r="M190" s="65" t="str">
        <f t="shared" si="1"/>
        <v/>
      </c>
      <c r="N190" s="158" t="s">
        <v>817</v>
      </c>
    </row>
    <row r="191">
      <c r="A191" s="45">
        <v>189.0</v>
      </c>
      <c r="B191" s="49" t="s">
        <v>825</v>
      </c>
      <c r="C191" s="51"/>
      <c r="D191" s="109"/>
      <c r="E191" s="52" t="s">
        <v>827</v>
      </c>
      <c r="F191" s="53">
        <v>1100.0</v>
      </c>
      <c r="G191" s="162" t="s">
        <v>828</v>
      </c>
      <c r="H191" s="116" t="b">
        <v>0</v>
      </c>
      <c r="I191" s="141"/>
      <c r="J191" s="47" t="b">
        <v>0</v>
      </c>
      <c r="K191" s="59"/>
      <c r="L191" s="108" t="b">
        <v>0</v>
      </c>
      <c r="M191" s="65" t="str">
        <f t="shared" si="1"/>
        <v/>
      </c>
      <c r="N191" s="158" t="s">
        <v>817</v>
      </c>
    </row>
    <row r="192">
      <c r="A192" s="45">
        <v>190.0</v>
      </c>
      <c r="B192" s="49" t="s">
        <v>244</v>
      </c>
      <c r="C192" s="51"/>
      <c r="D192" s="109"/>
      <c r="E192" s="52" t="s">
        <v>829</v>
      </c>
      <c r="F192" s="53">
        <v>500.0</v>
      </c>
      <c r="G192" s="42" t="s">
        <v>831</v>
      </c>
      <c r="H192" s="56" t="b">
        <v>1</v>
      </c>
      <c r="I192" s="68">
        <v>46011.0</v>
      </c>
      <c r="J192" s="47" t="b">
        <v>1</v>
      </c>
      <c r="K192" s="145">
        <f t="shared" ref="K192:K194" si="5">I192</f>
        <v>46011</v>
      </c>
      <c r="L192" s="61" t="b">
        <v>1</v>
      </c>
      <c r="M192" s="65">
        <f t="shared" si="1"/>
        <v>46193</v>
      </c>
      <c r="N192" s="54" t="s">
        <v>36</v>
      </c>
    </row>
    <row r="193">
      <c r="A193" s="45">
        <v>191.0</v>
      </c>
      <c r="B193" s="49" t="s">
        <v>833</v>
      </c>
      <c r="C193" s="51"/>
      <c r="D193" s="109"/>
      <c r="E193" s="52" t="s">
        <v>834</v>
      </c>
      <c r="F193" s="53">
        <v>200.0</v>
      </c>
      <c r="G193" s="42" t="s">
        <v>835</v>
      </c>
      <c r="H193" s="56" t="b">
        <v>1</v>
      </c>
      <c r="I193" s="68">
        <v>46103.0</v>
      </c>
      <c r="J193" s="47" t="b">
        <v>1</v>
      </c>
      <c r="K193" s="145">
        <f t="shared" si="5"/>
        <v>46103</v>
      </c>
      <c r="L193" s="61" t="b">
        <v>0</v>
      </c>
      <c r="M193" s="65">
        <f t="shared" si="1"/>
        <v>46287</v>
      </c>
      <c r="N193" s="158" t="s">
        <v>817</v>
      </c>
    </row>
    <row r="194">
      <c r="A194" s="45">
        <v>192.0</v>
      </c>
      <c r="B194" s="49" t="s">
        <v>838</v>
      </c>
      <c r="C194" s="51"/>
      <c r="D194" s="109"/>
      <c r="E194" s="52">
        <v>1291.0</v>
      </c>
      <c r="F194" s="53">
        <v>225.0</v>
      </c>
      <c r="G194" s="165" t="s">
        <v>842</v>
      </c>
      <c r="H194" s="56" t="b">
        <v>1</v>
      </c>
      <c r="I194" s="68">
        <v>46168.0</v>
      </c>
      <c r="J194" s="47" t="b">
        <v>1</v>
      </c>
      <c r="K194" s="145">
        <f t="shared" si="5"/>
        <v>46168</v>
      </c>
      <c r="L194" s="61" t="b">
        <v>0</v>
      </c>
      <c r="M194" s="65">
        <f t="shared" si="1"/>
        <v>46352</v>
      </c>
      <c r="N194" s="158" t="s">
        <v>817</v>
      </c>
    </row>
    <row r="195">
      <c r="A195" s="45">
        <v>193.0</v>
      </c>
      <c r="B195" s="49" t="s">
        <v>845</v>
      </c>
      <c r="C195" s="168"/>
      <c r="D195" s="168"/>
      <c r="E195" s="52" t="s">
        <v>846</v>
      </c>
      <c r="F195" s="53">
        <v>0.0</v>
      </c>
      <c r="G195" s="169" t="s">
        <v>847</v>
      </c>
      <c r="H195" s="56" t="b">
        <v>1</v>
      </c>
      <c r="I195" s="68">
        <v>46173.0</v>
      </c>
      <c r="J195" s="51" t="b">
        <v>0</v>
      </c>
      <c r="K195" s="59"/>
      <c r="L195" s="108" t="b">
        <v>0</v>
      </c>
      <c r="M195" s="65">
        <f t="shared" si="1"/>
        <v>46356</v>
      </c>
      <c r="N195" s="158" t="s">
        <v>817</v>
      </c>
    </row>
    <row r="196">
      <c r="A196" s="45">
        <v>194.0</v>
      </c>
      <c r="B196" s="170" t="s">
        <v>849</v>
      </c>
      <c r="H196" s="172"/>
      <c r="I196" s="173"/>
      <c r="J196" s="174"/>
      <c r="K196" s="175"/>
      <c r="L196" s="176"/>
      <c r="M196" s="177" t="str">
        <f t="shared" si="1"/>
        <v/>
      </c>
      <c r="N196" s="178"/>
    </row>
    <row r="197">
      <c r="A197" s="45">
        <v>195.0</v>
      </c>
      <c r="H197" s="172"/>
      <c r="I197" s="173"/>
      <c r="J197" s="174"/>
      <c r="K197" s="175"/>
      <c r="L197" s="176"/>
      <c r="M197" s="177" t="str">
        <f t="shared" si="1"/>
        <v/>
      </c>
      <c r="N197" s="178"/>
    </row>
    <row r="198">
      <c r="A198" s="45">
        <v>196.0</v>
      </c>
      <c r="B198" s="109"/>
      <c r="C198" s="51"/>
      <c r="D198" s="109"/>
      <c r="E198" s="179"/>
      <c r="F198" s="79"/>
      <c r="G198" s="80"/>
      <c r="H198" s="116" t="b">
        <v>0</v>
      </c>
      <c r="I198" s="68"/>
      <c r="J198" s="51" t="b">
        <v>0</v>
      </c>
      <c r="K198" s="59"/>
      <c r="L198" s="108" t="b">
        <v>0</v>
      </c>
      <c r="M198" s="65" t="str">
        <f t="shared" si="1"/>
        <v/>
      </c>
      <c r="N198" s="180"/>
    </row>
    <row r="199">
      <c r="A199" s="45">
        <v>197.0</v>
      </c>
      <c r="B199" s="109"/>
      <c r="C199" s="51"/>
      <c r="D199" s="109"/>
      <c r="E199" s="179"/>
      <c r="F199" s="79"/>
      <c r="G199" s="80"/>
      <c r="H199" s="116" t="b">
        <v>0</v>
      </c>
      <c r="I199" s="68"/>
      <c r="J199" s="51" t="b">
        <v>0</v>
      </c>
      <c r="K199" s="59"/>
      <c r="L199" s="108" t="b">
        <v>0</v>
      </c>
      <c r="M199" s="65" t="str">
        <f t="shared" si="1"/>
        <v/>
      </c>
      <c r="N199" s="180"/>
    </row>
    <row r="200">
      <c r="A200" s="45">
        <v>198.0</v>
      </c>
      <c r="B200" s="109"/>
      <c r="C200" s="51"/>
      <c r="D200" s="109"/>
      <c r="E200" s="179"/>
      <c r="F200" s="79"/>
      <c r="G200" s="80"/>
      <c r="H200" s="116" t="b">
        <v>0</v>
      </c>
      <c r="I200" s="70"/>
      <c r="J200" s="51" t="b">
        <v>0</v>
      </c>
      <c r="K200" s="59"/>
      <c r="L200" s="108" t="b">
        <v>0</v>
      </c>
      <c r="M200" s="65" t="str">
        <f t="shared" si="1"/>
        <v/>
      </c>
      <c r="N200" s="180"/>
    </row>
    <row r="201">
      <c r="A201" s="45">
        <v>199.0</v>
      </c>
      <c r="B201" s="109"/>
      <c r="C201" s="51"/>
      <c r="D201" s="109"/>
      <c r="E201" s="179"/>
      <c r="F201" s="79"/>
      <c r="G201" s="80"/>
      <c r="H201" s="116" t="b">
        <v>0</v>
      </c>
      <c r="I201" s="70"/>
      <c r="J201" s="47" t="b">
        <v>0</v>
      </c>
      <c r="K201" s="59"/>
      <c r="L201" s="108" t="b">
        <v>0</v>
      </c>
      <c r="M201" s="65" t="str">
        <f t="shared" si="1"/>
        <v/>
      </c>
      <c r="N201" s="180"/>
    </row>
    <row r="202">
      <c r="A202" s="45">
        <v>200.0</v>
      </c>
      <c r="B202" s="109"/>
      <c r="C202" s="51"/>
      <c r="D202" s="109"/>
      <c r="E202" s="179"/>
      <c r="F202" s="79"/>
      <c r="G202" s="80"/>
      <c r="H202" s="116" t="b">
        <v>0</v>
      </c>
      <c r="I202" s="70"/>
      <c r="J202" s="51" t="b">
        <v>0</v>
      </c>
      <c r="K202" s="59"/>
      <c r="L202" s="108" t="b">
        <v>0</v>
      </c>
      <c r="M202" s="65" t="str">
        <f t="shared" si="1"/>
        <v/>
      </c>
      <c r="N202" s="180"/>
    </row>
    <row r="203">
      <c r="A203" s="45">
        <v>201.0</v>
      </c>
      <c r="B203" s="109"/>
      <c r="C203" s="51"/>
      <c r="D203" s="109"/>
      <c r="E203" s="179"/>
      <c r="F203" s="79"/>
      <c r="G203" s="80"/>
      <c r="H203" s="116" t="b">
        <v>0</v>
      </c>
      <c r="I203" s="70"/>
      <c r="J203" s="51" t="b">
        <v>0</v>
      </c>
      <c r="K203" s="59"/>
      <c r="L203" s="108" t="b">
        <v>0</v>
      </c>
      <c r="M203" s="65" t="str">
        <f t="shared" si="1"/>
        <v/>
      </c>
      <c r="N203" s="180"/>
    </row>
    <row r="204">
      <c r="A204" s="45">
        <v>202.0</v>
      </c>
      <c r="B204" s="109"/>
      <c r="C204" s="51"/>
      <c r="D204" s="109"/>
      <c r="E204" s="179"/>
      <c r="F204" s="79"/>
      <c r="G204" s="80"/>
      <c r="H204" s="116" t="b">
        <v>0</v>
      </c>
      <c r="I204" s="70"/>
      <c r="J204" s="51" t="b">
        <v>0</v>
      </c>
      <c r="K204" s="59"/>
      <c r="L204" s="108" t="b">
        <v>0</v>
      </c>
      <c r="M204" s="65" t="str">
        <f t="shared" si="1"/>
        <v/>
      </c>
      <c r="N204" s="180"/>
    </row>
    <row r="205">
      <c r="A205" s="45">
        <v>203.0</v>
      </c>
      <c r="B205" s="109"/>
      <c r="C205" s="51"/>
      <c r="D205" s="109"/>
      <c r="E205" s="179"/>
      <c r="F205" s="79"/>
      <c r="G205" s="80"/>
      <c r="H205" s="116" t="b">
        <v>0</v>
      </c>
      <c r="I205" s="70"/>
      <c r="J205" s="51" t="b">
        <v>0</v>
      </c>
      <c r="K205" s="59"/>
      <c r="L205" s="108" t="b">
        <v>0</v>
      </c>
      <c r="M205" s="65" t="str">
        <f t="shared" si="1"/>
        <v/>
      </c>
      <c r="N205" s="180"/>
    </row>
    <row r="206">
      <c r="A206" s="45">
        <v>204.0</v>
      </c>
      <c r="B206" s="109"/>
      <c r="C206" s="51"/>
      <c r="D206" s="109"/>
      <c r="E206" s="179"/>
      <c r="F206" s="79"/>
      <c r="G206" s="80"/>
      <c r="H206" s="116" t="b">
        <v>0</v>
      </c>
      <c r="I206" s="70"/>
      <c r="J206" s="51" t="b">
        <v>0</v>
      </c>
      <c r="K206" s="59"/>
      <c r="L206" s="108" t="b">
        <v>0</v>
      </c>
      <c r="M206" s="65" t="str">
        <f t="shared" si="1"/>
        <v/>
      </c>
      <c r="N206" s="180"/>
    </row>
  </sheetData>
  <mergeCells count="3">
    <mergeCell ref="B1:C1"/>
    <mergeCell ref="H1:M1"/>
    <mergeCell ref="B196:G197"/>
  </mergeCells>
  <conditionalFormatting sqref="G142">
    <cfRule type="expression" dxfId="0" priority="1">
      <formula>L:L=TRUE</formula>
    </cfRule>
  </conditionalFormatting>
  <conditionalFormatting sqref="G138">
    <cfRule type="expression" dxfId="0" priority="2">
      <formula>L:L=TRUE</formula>
    </cfRule>
  </conditionalFormatting>
  <conditionalFormatting sqref="B172">
    <cfRule type="expression" dxfId="0" priority="3">
      <formula>L:L=TRUE</formula>
    </cfRule>
  </conditionalFormatting>
  <conditionalFormatting sqref="D172">
    <cfRule type="expression" dxfId="0" priority="4">
      <formula>L:L=TRUE</formula>
    </cfRule>
  </conditionalFormatting>
  <conditionalFormatting sqref="C121">
    <cfRule type="expression" dxfId="0" priority="5">
      <formula>L:L=TRUE</formula>
    </cfRule>
  </conditionalFormatting>
  <conditionalFormatting sqref="D121">
    <cfRule type="expression" dxfId="0" priority="6">
      <formula>L:L=TRUE</formula>
    </cfRule>
  </conditionalFormatting>
  <conditionalFormatting sqref="H1:H206">
    <cfRule type="expression" dxfId="0" priority="7">
      <formula>L:L=TRUE</formula>
    </cfRule>
  </conditionalFormatting>
  <conditionalFormatting sqref="H1:H206">
    <cfRule type="expression" dxfId="1" priority="8">
      <formula>H:H=TRUE</formula>
    </cfRule>
  </conditionalFormatting>
  <conditionalFormatting sqref="H1:H206">
    <cfRule type="expression" dxfId="2" priority="9">
      <formula>H:H=FALSE</formula>
    </cfRule>
  </conditionalFormatting>
  <conditionalFormatting sqref="J2:J206">
    <cfRule type="expression" dxfId="0" priority="10">
      <formula>L:L=TRUE</formula>
    </cfRule>
  </conditionalFormatting>
  <conditionalFormatting sqref="J2:J206">
    <cfRule type="expression" dxfId="1" priority="11">
      <formula>J:J=TRUE</formula>
    </cfRule>
  </conditionalFormatting>
  <conditionalFormatting sqref="J2:J206">
    <cfRule type="expression" dxfId="2" priority="12">
      <formula>J:J=FALSE</formula>
    </cfRule>
  </conditionalFormatting>
  <conditionalFormatting sqref="L2:L206">
    <cfRule type="expression" dxfId="0" priority="13">
      <formula>L:L=TRUE</formula>
    </cfRule>
  </conditionalFormatting>
  <conditionalFormatting sqref="M3:N206">
    <cfRule type="expression" dxfId="0" priority="14">
      <formula>L:L=TRUE</formula>
    </cfRule>
  </conditionalFormatting>
  <conditionalFormatting sqref="L2:L206">
    <cfRule type="expression" dxfId="2" priority="15">
      <formula>L:L=FALSE</formula>
    </cfRule>
  </conditionalFormatting>
  <conditionalFormatting sqref="C1:C120 C122:C137 C139:C194 C198:C206">
    <cfRule type="expression" dxfId="0" priority="16">
      <formula>L:L=TRUE</formula>
    </cfRule>
  </conditionalFormatting>
  <conditionalFormatting sqref="D1:D120 D122:D172 D174:D194 D198:D206">
    <cfRule type="expression" dxfId="0" priority="17">
      <formula>L:L=TRUE</formula>
    </cfRule>
  </conditionalFormatting>
  <conditionalFormatting sqref="F1:F206">
    <cfRule type="expression" dxfId="0" priority="18">
      <formula>L:L=TRUE</formula>
    </cfRule>
  </conditionalFormatting>
  <conditionalFormatting sqref="G1:G137 G139:G141 G143:G195 G198:G206">
    <cfRule type="expression" dxfId="0" priority="19">
      <formula>L:L=TRUE</formula>
    </cfRule>
  </conditionalFormatting>
  <conditionalFormatting sqref="A1:A206">
    <cfRule type="expression" dxfId="0" priority="20">
      <formula>L:L=TRUE</formula>
    </cfRule>
  </conditionalFormatting>
  <conditionalFormatting sqref="B1:B206">
    <cfRule type="expression" dxfId="0" priority="21">
      <formula>L:L=TRUE</formula>
    </cfRule>
  </conditionalFormatting>
  <conditionalFormatting sqref="E1:E195 E198:E206">
    <cfRule type="expression" dxfId="0" priority="22">
      <formula>L:L=TRUE</formula>
    </cfRule>
  </conditionalFormatting>
  <conditionalFormatting sqref="K2:K206 I172">
    <cfRule type="expression" dxfId="0" priority="23">
      <formula>L:L=TRUE</formula>
    </cfRule>
  </conditionalFormatting>
  <conditionalFormatting sqref="I2:I206 K88 K93:K94 K97 K106:K109 K115 K118:K119 K121:K122 K128 K136:K138 K140 K147">
    <cfRule type="expression" dxfId="0" priority="24">
      <formula>L:L=TRUE</formula>
    </cfRule>
  </conditionalFormatting>
  <conditionalFormatting sqref="N1:N206">
    <cfRule type="containsText" dxfId="3" priority="25" operator="containsText" text="NO">
      <formula>NOT(ISERROR(SEARCH(("NO"),(N1))))</formula>
    </cfRule>
  </conditionalFormatting>
  <conditionalFormatting sqref="N1:N206">
    <cfRule type="containsText" dxfId="4" priority="26" operator="containsText" text="SI">
      <formula>NOT(ISERROR(SEARCH(("SI"),(N1))))</formula>
    </cfRule>
  </conditionalFormatting>
  <conditionalFormatting sqref="M3:M206">
    <cfRule type="expression" dxfId="5" priority="27">
      <formula>AND(ISNUMBER(M3),TRUNC(M3)&lt;TODAY())</formula>
    </cfRule>
  </conditionalFormatting>
  <conditionalFormatting sqref="M3:M195">
    <cfRule type="notContainsBlanks" dxfId="4" priority="28">
      <formula>LEN(TRIM(M3))&gt;0</formula>
    </cfRule>
  </conditionalFormatting>
  <conditionalFormatting sqref="N3:N206">
    <cfRule type="expression" dxfId="6" priority="29">
      <formula>L:L=TRUE</formula>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6.13"/>
    <col customWidth="1" min="2" max="2" width="25.38"/>
    <col customWidth="1" min="3" max="3" width="6.88"/>
    <col customWidth="1" min="4" max="5" width="8.75"/>
    <col customWidth="1" min="6" max="6" width="9.63"/>
    <col customWidth="1" min="7" max="7" width="20.0"/>
    <col customWidth="1" min="8" max="8" width="12.0"/>
    <col customWidth="1" min="9" max="9" width="5.13"/>
    <col customWidth="1" min="10" max="10" width="5.25"/>
    <col customWidth="1" min="11" max="11" width="12.0"/>
    <col customWidth="1" min="12" max="12" width="6.38"/>
  </cols>
  <sheetData>
    <row r="1">
      <c r="A1" s="1" t="s">
        <v>1</v>
      </c>
      <c r="B1" s="2" t="s">
        <v>0</v>
      </c>
      <c r="D1" s="6"/>
      <c r="F1" s="7"/>
      <c r="G1" s="7"/>
      <c r="H1" s="8" t="s">
        <v>2</v>
      </c>
      <c r="K1" s="10"/>
      <c r="L1" s="2"/>
    </row>
    <row r="2" ht="51.0" customHeight="1">
      <c r="A2" s="2" t="s">
        <v>4</v>
      </c>
      <c r="B2" s="2" t="s">
        <v>5</v>
      </c>
      <c r="C2" s="2" t="s">
        <v>6</v>
      </c>
      <c r="D2" s="14" t="s">
        <v>7</v>
      </c>
      <c r="E2" s="17" t="s">
        <v>8</v>
      </c>
      <c r="F2" s="18" t="s">
        <v>9</v>
      </c>
      <c r="G2" s="2" t="s">
        <v>10</v>
      </c>
      <c r="H2" s="21" t="s">
        <v>11</v>
      </c>
      <c r="I2" s="23" t="s">
        <v>14</v>
      </c>
      <c r="J2" s="21" t="s">
        <v>17</v>
      </c>
      <c r="K2" s="21" t="s">
        <v>18</v>
      </c>
      <c r="L2" s="26" t="s">
        <v>19</v>
      </c>
    </row>
    <row r="3">
      <c r="A3" s="29">
        <v>1.0</v>
      </c>
      <c r="B3" s="31" t="s">
        <v>25</v>
      </c>
      <c r="C3" s="33"/>
      <c r="D3" s="35"/>
      <c r="E3" s="36">
        <v>12.0</v>
      </c>
      <c r="F3" s="38">
        <v>200.0</v>
      </c>
      <c r="G3" s="31"/>
      <c r="H3" s="40"/>
      <c r="I3" s="46" t="b">
        <v>0</v>
      </c>
      <c r="J3" s="48" t="b">
        <v>1</v>
      </c>
      <c r="K3" s="48" t="str">
        <f t="shared" ref="K3:K616" si="1">IF(H3="","",EDATE(H3,6))</f>
        <v/>
      </c>
      <c r="L3" s="54" t="s">
        <v>36</v>
      </c>
    </row>
    <row r="4">
      <c r="A4" s="29">
        <v>2.0</v>
      </c>
      <c r="B4" s="31" t="s">
        <v>37</v>
      </c>
      <c r="C4" s="33"/>
      <c r="D4" s="35"/>
      <c r="E4" s="36">
        <v>14.0</v>
      </c>
      <c r="F4" s="38">
        <v>200.0</v>
      </c>
      <c r="G4" s="31"/>
      <c r="H4" s="40"/>
      <c r="I4" s="46" t="b">
        <v>0</v>
      </c>
      <c r="J4" s="48" t="b">
        <v>1</v>
      </c>
      <c r="K4" s="48" t="str">
        <f t="shared" si="1"/>
        <v/>
      </c>
      <c r="L4" s="54" t="s">
        <v>36</v>
      </c>
    </row>
    <row r="5">
      <c r="A5" s="29">
        <v>3.0</v>
      </c>
      <c r="B5" s="31" t="s">
        <v>41</v>
      </c>
      <c r="C5" s="33"/>
      <c r="D5" s="35"/>
      <c r="E5" s="36">
        <v>15.0</v>
      </c>
      <c r="F5" s="38">
        <v>200.0</v>
      </c>
      <c r="G5" s="31"/>
      <c r="H5" s="40"/>
      <c r="I5" s="46" t="b">
        <v>0</v>
      </c>
      <c r="J5" s="48" t="b">
        <v>1</v>
      </c>
      <c r="K5" s="48" t="str">
        <f t="shared" si="1"/>
        <v/>
      </c>
      <c r="L5" s="54" t="s">
        <v>36</v>
      </c>
    </row>
    <row r="6">
      <c r="A6" s="29">
        <v>4.0</v>
      </c>
      <c r="B6" s="31" t="s">
        <v>42</v>
      </c>
      <c r="C6" s="33"/>
      <c r="D6" s="35"/>
      <c r="E6" s="36">
        <v>18.0</v>
      </c>
      <c r="F6" s="38">
        <v>200.0</v>
      </c>
      <c r="G6" s="31"/>
      <c r="H6" s="40"/>
      <c r="I6" s="46" t="b">
        <v>0</v>
      </c>
      <c r="J6" s="48" t="b">
        <v>1</v>
      </c>
      <c r="K6" s="48" t="str">
        <f t="shared" si="1"/>
        <v/>
      </c>
      <c r="L6" s="54" t="s">
        <v>36</v>
      </c>
    </row>
    <row r="7">
      <c r="A7" s="29">
        <v>5.0</v>
      </c>
      <c r="B7" s="31" t="s">
        <v>43</v>
      </c>
      <c r="C7" s="33"/>
      <c r="D7" s="35"/>
      <c r="E7" s="36">
        <v>19.0</v>
      </c>
      <c r="F7" s="38">
        <v>200.0</v>
      </c>
      <c r="G7" s="31"/>
      <c r="H7" s="40"/>
      <c r="I7" s="46" t="b">
        <v>0</v>
      </c>
      <c r="J7" s="48" t="b">
        <v>1</v>
      </c>
      <c r="K7" s="48" t="str">
        <f t="shared" si="1"/>
        <v/>
      </c>
      <c r="L7" s="54" t="s">
        <v>36</v>
      </c>
    </row>
    <row r="8">
      <c r="A8" s="29">
        <v>6.0</v>
      </c>
      <c r="B8" s="31" t="s">
        <v>44</v>
      </c>
      <c r="C8" s="33"/>
      <c r="D8" s="35"/>
      <c r="E8" s="36">
        <v>20.0</v>
      </c>
      <c r="F8" s="38">
        <v>200.0</v>
      </c>
      <c r="G8" s="31"/>
      <c r="H8" s="40"/>
      <c r="I8" s="46" t="b">
        <v>0</v>
      </c>
      <c r="J8" s="48" t="b">
        <v>1</v>
      </c>
      <c r="K8" s="48" t="str">
        <f t="shared" si="1"/>
        <v/>
      </c>
      <c r="L8" s="54" t="s">
        <v>36</v>
      </c>
    </row>
    <row r="9">
      <c r="A9" s="29">
        <v>7.0</v>
      </c>
      <c r="B9" s="31" t="s">
        <v>45</v>
      </c>
      <c r="C9" s="33"/>
      <c r="D9" s="35"/>
      <c r="E9" s="36">
        <v>24.0</v>
      </c>
      <c r="F9" s="38">
        <v>200.0</v>
      </c>
      <c r="G9" s="31"/>
      <c r="H9" s="40"/>
      <c r="I9" s="46" t="b">
        <v>0</v>
      </c>
      <c r="J9" s="48" t="b">
        <v>1</v>
      </c>
      <c r="K9" s="48" t="str">
        <f t="shared" si="1"/>
        <v/>
      </c>
      <c r="L9" s="54" t="s">
        <v>36</v>
      </c>
    </row>
    <row r="10">
      <c r="A10" s="29">
        <v>8.0</v>
      </c>
      <c r="B10" s="31" t="s">
        <v>48</v>
      </c>
      <c r="C10" s="33"/>
      <c r="D10" s="35"/>
      <c r="E10" s="36">
        <v>28.0</v>
      </c>
      <c r="F10" s="38">
        <v>200.0</v>
      </c>
      <c r="G10" s="31"/>
      <c r="H10" s="40"/>
      <c r="I10" s="46" t="b">
        <v>0</v>
      </c>
      <c r="J10" s="48" t="b">
        <v>1</v>
      </c>
      <c r="K10" s="48" t="str">
        <f t="shared" si="1"/>
        <v/>
      </c>
      <c r="L10" s="54" t="s">
        <v>36</v>
      </c>
    </row>
    <row r="11">
      <c r="A11" s="29">
        <v>9.0</v>
      </c>
      <c r="B11" s="31" t="s">
        <v>51</v>
      </c>
      <c r="C11" s="35"/>
      <c r="D11" s="35"/>
      <c r="E11" s="36">
        <v>29.0</v>
      </c>
      <c r="F11" s="38">
        <v>200.0</v>
      </c>
      <c r="G11" s="31"/>
      <c r="H11" s="40"/>
      <c r="I11" s="46" t="b">
        <v>0</v>
      </c>
      <c r="J11" s="48" t="b">
        <v>1</v>
      </c>
      <c r="K11" s="48" t="str">
        <f t="shared" si="1"/>
        <v/>
      </c>
      <c r="L11" s="54" t="s">
        <v>36</v>
      </c>
    </row>
    <row r="12">
      <c r="A12" s="29">
        <v>10.0</v>
      </c>
      <c r="B12" s="31" t="s">
        <v>53</v>
      </c>
      <c r="C12" s="35"/>
      <c r="D12" s="35"/>
      <c r="E12" s="36">
        <v>30.0</v>
      </c>
      <c r="F12" s="38">
        <v>200.0</v>
      </c>
      <c r="G12" s="31"/>
      <c r="H12" s="40"/>
      <c r="I12" s="46" t="b">
        <v>0</v>
      </c>
      <c r="J12" s="48" t="b">
        <v>1</v>
      </c>
      <c r="K12" s="48" t="str">
        <f t="shared" si="1"/>
        <v/>
      </c>
      <c r="L12" s="54" t="s">
        <v>36</v>
      </c>
    </row>
    <row r="13">
      <c r="A13" s="29">
        <v>11.0</v>
      </c>
      <c r="B13" s="31" t="s">
        <v>57</v>
      </c>
      <c r="C13" s="33"/>
      <c r="D13" s="35"/>
      <c r="E13" s="36">
        <v>31.0</v>
      </c>
      <c r="F13" s="38">
        <v>200.0</v>
      </c>
      <c r="G13" s="31"/>
      <c r="H13" s="40"/>
      <c r="I13" s="46" t="b">
        <v>0</v>
      </c>
      <c r="J13" s="48" t="b">
        <v>1</v>
      </c>
      <c r="K13" s="48" t="str">
        <f t="shared" si="1"/>
        <v/>
      </c>
      <c r="L13" s="54" t="s">
        <v>36</v>
      </c>
    </row>
    <row r="14">
      <c r="A14" s="29">
        <v>12.0</v>
      </c>
      <c r="B14" s="31" t="s">
        <v>59</v>
      </c>
      <c r="C14" s="33"/>
      <c r="D14" s="35"/>
      <c r="E14" s="36">
        <v>34.0</v>
      </c>
      <c r="F14" s="38">
        <v>200.0</v>
      </c>
      <c r="G14" s="31"/>
      <c r="H14" s="40"/>
      <c r="I14" s="46" t="b">
        <v>0</v>
      </c>
      <c r="J14" s="48" t="b">
        <v>1</v>
      </c>
      <c r="K14" s="48" t="str">
        <f t="shared" si="1"/>
        <v/>
      </c>
      <c r="L14" s="54" t="s">
        <v>36</v>
      </c>
    </row>
    <row r="15">
      <c r="A15" s="29">
        <v>13.0</v>
      </c>
      <c r="B15" s="31" t="s">
        <v>62</v>
      </c>
      <c r="C15" s="33"/>
      <c r="D15" s="35"/>
      <c r="E15" s="36">
        <v>35.0</v>
      </c>
      <c r="F15" s="38">
        <v>200.0</v>
      </c>
      <c r="G15" s="31"/>
      <c r="H15" s="40"/>
      <c r="I15" s="46" t="b">
        <v>0</v>
      </c>
      <c r="J15" s="48" t="b">
        <v>1</v>
      </c>
      <c r="K15" s="48" t="str">
        <f t="shared" si="1"/>
        <v/>
      </c>
      <c r="L15" s="54" t="s">
        <v>36</v>
      </c>
    </row>
    <row r="16">
      <c r="A16" s="29">
        <v>14.0</v>
      </c>
      <c r="B16" s="31" t="s">
        <v>66</v>
      </c>
      <c r="C16" s="33"/>
      <c r="D16" s="35"/>
      <c r="E16" s="36">
        <v>37.0</v>
      </c>
      <c r="F16" s="38">
        <v>200.0</v>
      </c>
      <c r="G16" s="31"/>
      <c r="H16" s="40"/>
      <c r="I16" s="46" t="b">
        <v>0</v>
      </c>
      <c r="J16" s="48" t="b">
        <v>1</v>
      </c>
      <c r="K16" s="48" t="str">
        <f t="shared" si="1"/>
        <v/>
      </c>
      <c r="L16" s="54" t="s">
        <v>36</v>
      </c>
    </row>
    <row r="17">
      <c r="A17" s="29">
        <v>15.0</v>
      </c>
      <c r="B17" s="31" t="s">
        <v>69</v>
      </c>
      <c r="C17" s="35"/>
      <c r="D17" s="35"/>
      <c r="E17" s="36">
        <v>39.0</v>
      </c>
      <c r="F17" s="38">
        <v>200.0</v>
      </c>
      <c r="G17" s="31"/>
      <c r="H17" s="40"/>
      <c r="I17" s="46" t="b">
        <v>0</v>
      </c>
      <c r="J17" s="48" t="b">
        <v>1</v>
      </c>
      <c r="K17" s="48" t="str">
        <f t="shared" si="1"/>
        <v/>
      </c>
      <c r="L17" s="54" t="s">
        <v>36</v>
      </c>
    </row>
    <row r="18">
      <c r="A18" s="29">
        <v>16.0</v>
      </c>
      <c r="B18" s="31" t="s">
        <v>72</v>
      </c>
      <c r="C18" s="33"/>
      <c r="D18" s="35"/>
      <c r="E18" s="36">
        <v>1.0</v>
      </c>
      <c r="F18" s="38">
        <v>180.0</v>
      </c>
      <c r="G18" s="31"/>
      <c r="H18" s="40"/>
      <c r="I18" s="46" t="b">
        <v>0</v>
      </c>
      <c r="J18" s="48" t="b">
        <v>1</v>
      </c>
      <c r="K18" s="48" t="str">
        <f t="shared" si="1"/>
        <v/>
      </c>
      <c r="L18" s="54" t="s">
        <v>36</v>
      </c>
    </row>
    <row r="19">
      <c r="A19" s="29">
        <v>17.0</v>
      </c>
      <c r="B19" s="31" t="s">
        <v>74</v>
      </c>
      <c r="C19" s="33"/>
      <c r="D19" s="35"/>
      <c r="E19" s="36">
        <v>44.0</v>
      </c>
      <c r="F19" s="38">
        <v>200.0</v>
      </c>
      <c r="G19" s="31"/>
      <c r="H19" s="40"/>
      <c r="I19" s="46" t="b">
        <v>0</v>
      </c>
      <c r="J19" s="48" t="b">
        <v>1</v>
      </c>
      <c r="K19" s="48" t="str">
        <f t="shared" si="1"/>
        <v/>
      </c>
      <c r="L19" s="54" t="s">
        <v>36</v>
      </c>
    </row>
    <row r="20">
      <c r="A20" s="29">
        <v>18.0</v>
      </c>
      <c r="B20" s="31" t="s">
        <v>79</v>
      </c>
      <c r="C20" s="35"/>
      <c r="D20" s="35"/>
      <c r="E20" s="36">
        <v>45.0</v>
      </c>
      <c r="F20" s="38">
        <v>200.0</v>
      </c>
      <c r="G20" s="31"/>
      <c r="H20" s="40"/>
      <c r="I20" s="46" t="b">
        <v>0</v>
      </c>
      <c r="J20" s="48" t="b">
        <v>1</v>
      </c>
      <c r="K20" s="48" t="str">
        <f t="shared" si="1"/>
        <v/>
      </c>
      <c r="L20" s="54" t="s">
        <v>36</v>
      </c>
    </row>
    <row r="21">
      <c r="A21" s="29">
        <v>19.0</v>
      </c>
      <c r="B21" s="31" t="s">
        <v>84</v>
      </c>
      <c r="C21" s="35"/>
      <c r="D21" s="35"/>
      <c r="E21" s="36">
        <v>46.0</v>
      </c>
      <c r="F21" s="38">
        <v>200.0</v>
      </c>
      <c r="G21" s="31"/>
      <c r="H21" s="40"/>
      <c r="I21" s="46" t="b">
        <v>0</v>
      </c>
      <c r="J21" s="48" t="b">
        <v>1</v>
      </c>
      <c r="K21" s="48" t="str">
        <f t="shared" si="1"/>
        <v/>
      </c>
      <c r="L21" s="54" t="s">
        <v>36</v>
      </c>
    </row>
    <row r="22">
      <c r="A22" s="29">
        <v>20.0</v>
      </c>
      <c r="B22" s="31" t="s">
        <v>87</v>
      </c>
      <c r="C22" s="33"/>
      <c r="D22" s="35"/>
      <c r="E22" s="36">
        <v>47.0</v>
      </c>
      <c r="F22" s="38">
        <v>200.0</v>
      </c>
      <c r="G22" s="31"/>
      <c r="H22" s="40"/>
      <c r="I22" s="46" t="b">
        <v>0</v>
      </c>
      <c r="J22" s="48" t="b">
        <v>1</v>
      </c>
      <c r="K22" s="48" t="str">
        <f t="shared" si="1"/>
        <v/>
      </c>
      <c r="L22" s="54" t="s">
        <v>36</v>
      </c>
    </row>
    <row r="23">
      <c r="A23" s="29">
        <v>21.0</v>
      </c>
      <c r="B23" s="31" t="s">
        <v>89</v>
      </c>
      <c r="C23" s="33"/>
      <c r="D23" s="35"/>
      <c r="E23" s="36">
        <v>48.0</v>
      </c>
      <c r="F23" s="38">
        <v>200.0</v>
      </c>
      <c r="G23" s="31"/>
      <c r="H23" s="40"/>
      <c r="I23" s="46" t="b">
        <v>0</v>
      </c>
      <c r="J23" s="48" t="b">
        <v>1</v>
      </c>
      <c r="K23" s="48" t="str">
        <f t="shared" si="1"/>
        <v/>
      </c>
      <c r="L23" s="54" t="s">
        <v>36</v>
      </c>
    </row>
    <row r="24">
      <c r="A24" s="29">
        <v>22.0</v>
      </c>
      <c r="B24" s="31" t="s">
        <v>94</v>
      </c>
      <c r="C24" s="35"/>
      <c r="D24" s="35"/>
      <c r="E24" s="36">
        <v>49.0</v>
      </c>
      <c r="F24" s="38">
        <v>200.0</v>
      </c>
      <c r="G24" s="31"/>
      <c r="H24" s="40"/>
      <c r="I24" s="46" t="b">
        <v>0</v>
      </c>
      <c r="J24" s="48" t="b">
        <v>1</v>
      </c>
      <c r="K24" s="48" t="str">
        <f t="shared" si="1"/>
        <v/>
      </c>
      <c r="L24" s="54" t="s">
        <v>36</v>
      </c>
    </row>
    <row r="25">
      <c r="A25" s="29">
        <v>23.0</v>
      </c>
      <c r="B25" s="31" t="s">
        <v>99</v>
      </c>
      <c r="C25" s="33"/>
      <c r="D25" s="35"/>
      <c r="E25" s="36">
        <v>50.0</v>
      </c>
      <c r="F25" s="38">
        <v>200.0</v>
      </c>
      <c r="G25" s="31"/>
      <c r="H25" s="40"/>
      <c r="I25" s="46" t="b">
        <v>0</v>
      </c>
      <c r="J25" s="48" t="b">
        <v>1</v>
      </c>
      <c r="K25" s="48" t="str">
        <f t="shared" si="1"/>
        <v/>
      </c>
      <c r="L25" s="54" t="s">
        <v>36</v>
      </c>
    </row>
    <row r="26">
      <c r="A26" s="29">
        <v>24.0</v>
      </c>
      <c r="B26" s="31" t="s">
        <v>103</v>
      </c>
      <c r="C26" s="71"/>
      <c r="D26" s="35"/>
      <c r="E26" s="36">
        <v>55.0</v>
      </c>
      <c r="F26" s="38">
        <v>200.0</v>
      </c>
      <c r="G26" s="31"/>
      <c r="H26" s="40"/>
      <c r="I26" s="46" t="b">
        <v>0</v>
      </c>
      <c r="J26" s="48" t="b">
        <v>1</v>
      </c>
      <c r="K26" s="48" t="str">
        <f t="shared" si="1"/>
        <v/>
      </c>
      <c r="L26" s="54" t="s">
        <v>36</v>
      </c>
    </row>
    <row r="27">
      <c r="A27" s="29">
        <v>25.0</v>
      </c>
      <c r="B27" s="31" t="s">
        <v>110</v>
      </c>
      <c r="C27" s="33"/>
      <c r="D27" s="35"/>
      <c r="E27" s="36">
        <v>56.0</v>
      </c>
      <c r="F27" s="38">
        <v>200.0</v>
      </c>
      <c r="G27" s="31"/>
      <c r="H27" s="40"/>
      <c r="I27" s="46" t="b">
        <v>0</v>
      </c>
      <c r="J27" s="48" t="b">
        <v>1</v>
      </c>
      <c r="K27" s="48" t="str">
        <f t="shared" si="1"/>
        <v/>
      </c>
      <c r="L27" s="54" t="s">
        <v>36</v>
      </c>
    </row>
    <row r="28">
      <c r="A28" s="29">
        <v>26.0</v>
      </c>
      <c r="B28" s="31" t="s">
        <v>113</v>
      </c>
      <c r="C28" s="33"/>
      <c r="D28" s="35"/>
      <c r="E28" s="36">
        <v>58.0</v>
      </c>
      <c r="F28" s="38">
        <v>200.0</v>
      </c>
      <c r="G28" s="31"/>
      <c r="H28" s="40"/>
      <c r="I28" s="46" t="b">
        <v>0</v>
      </c>
      <c r="J28" s="48" t="b">
        <v>1</v>
      </c>
      <c r="K28" s="48" t="str">
        <f t="shared" si="1"/>
        <v/>
      </c>
      <c r="L28" s="54" t="s">
        <v>36</v>
      </c>
    </row>
    <row r="29">
      <c r="A29" s="29">
        <v>27.0</v>
      </c>
      <c r="B29" s="31" t="s">
        <v>118</v>
      </c>
      <c r="C29" s="33"/>
      <c r="D29" s="35"/>
      <c r="E29" s="36">
        <v>59.0</v>
      </c>
      <c r="F29" s="38">
        <v>200.0</v>
      </c>
      <c r="G29" s="31"/>
      <c r="H29" s="40"/>
      <c r="I29" s="46" t="b">
        <v>0</v>
      </c>
      <c r="J29" s="48" t="b">
        <v>1</v>
      </c>
      <c r="K29" s="48" t="str">
        <f t="shared" si="1"/>
        <v/>
      </c>
      <c r="L29" s="54" t="s">
        <v>36</v>
      </c>
    </row>
    <row r="30">
      <c r="A30" s="29">
        <v>28.0</v>
      </c>
      <c r="B30" s="31" t="s">
        <v>123</v>
      </c>
      <c r="C30" s="33"/>
      <c r="D30" s="35"/>
      <c r="E30" s="36">
        <v>60.0</v>
      </c>
      <c r="F30" s="38">
        <v>200.0</v>
      </c>
      <c r="G30" s="31"/>
      <c r="H30" s="40"/>
      <c r="I30" s="46" t="b">
        <v>0</v>
      </c>
      <c r="J30" s="48" t="b">
        <v>1</v>
      </c>
      <c r="K30" s="48" t="str">
        <f t="shared" si="1"/>
        <v/>
      </c>
      <c r="L30" s="54" t="s">
        <v>36</v>
      </c>
    </row>
    <row r="31">
      <c r="A31" s="29">
        <v>29.0</v>
      </c>
      <c r="B31" s="31" t="s">
        <v>127</v>
      </c>
      <c r="C31" s="33"/>
      <c r="D31" s="35"/>
      <c r="E31" s="36">
        <v>61.0</v>
      </c>
      <c r="F31" s="38">
        <v>200.0</v>
      </c>
      <c r="G31" s="31"/>
      <c r="H31" s="40"/>
      <c r="I31" s="46" t="b">
        <v>0</v>
      </c>
      <c r="J31" s="48" t="b">
        <v>1</v>
      </c>
      <c r="K31" s="48" t="str">
        <f t="shared" si="1"/>
        <v/>
      </c>
      <c r="L31" s="54" t="s">
        <v>36</v>
      </c>
    </row>
    <row r="32">
      <c r="A32" s="29">
        <v>30.0</v>
      </c>
      <c r="B32" s="72" t="s">
        <v>131</v>
      </c>
      <c r="C32" s="33"/>
      <c r="D32" s="35"/>
      <c r="E32" s="36">
        <v>63.0</v>
      </c>
      <c r="F32" s="38">
        <v>200.0</v>
      </c>
      <c r="G32" s="31"/>
      <c r="H32" s="40"/>
      <c r="I32" s="46" t="b">
        <v>0</v>
      </c>
      <c r="J32" s="48" t="b">
        <v>1</v>
      </c>
      <c r="K32" s="48" t="str">
        <f t="shared" si="1"/>
        <v/>
      </c>
      <c r="L32" s="54" t="s">
        <v>36</v>
      </c>
    </row>
    <row r="33">
      <c r="A33" s="29">
        <v>31.0</v>
      </c>
      <c r="B33" s="72" t="s">
        <v>134</v>
      </c>
      <c r="C33" s="33"/>
      <c r="D33" s="35"/>
      <c r="E33" s="36">
        <v>64.0</v>
      </c>
      <c r="F33" s="38">
        <v>200.0</v>
      </c>
      <c r="G33" s="31"/>
      <c r="H33" s="40"/>
      <c r="I33" s="46" t="b">
        <v>0</v>
      </c>
      <c r="J33" s="48" t="b">
        <v>1</v>
      </c>
      <c r="K33" s="48" t="str">
        <f t="shared" si="1"/>
        <v/>
      </c>
      <c r="L33" s="54" t="s">
        <v>36</v>
      </c>
    </row>
    <row r="34">
      <c r="A34" s="29">
        <v>32.0</v>
      </c>
      <c r="B34" s="72" t="s">
        <v>140</v>
      </c>
      <c r="C34" s="33"/>
      <c r="D34" s="35"/>
      <c r="E34" s="36">
        <v>66.0</v>
      </c>
      <c r="F34" s="38">
        <v>200.0</v>
      </c>
      <c r="G34" s="31"/>
      <c r="H34" s="40"/>
      <c r="I34" s="46" t="b">
        <v>0</v>
      </c>
      <c r="J34" s="48" t="b">
        <v>1</v>
      </c>
      <c r="K34" s="48" t="str">
        <f t="shared" si="1"/>
        <v/>
      </c>
      <c r="L34" s="54" t="s">
        <v>36</v>
      </c>
    </row>
    <row r="35">
      <c r="A35" s="29">
        <v>33.0</v>
      </c>
      <c r="B35" s="72" t="s">
        <v>145</v>
      </c>
      <c r="C35" s="33"/>
      <c r="D35" s="35"/>
      <c r="E35" s="36">
        <v>68.0</v>
      </c>
      <c r="F35" s="38">
        <v>400.0</v>
      </c>
      <c r="G35" s="75"/>
      <c r="H35" s="40"/>
      <c r="I35" s="76" t="b">
        <v>0</v>
      </c>
      <c r="J35" s="77" t="b">
        <v>1</v>
      </c>
      <c r="K35" s="48" t="str">
        <f t="shared" si="1"/>
        <v/>
      </c>
      <c r="L35" s="54" t="s">
        <v>36</v>
      </c>
    </row>
    <row r="36">
      <c r="A36" s="29">
        <v>34.0</v>
      </c>
      <c r="B36" s="72" t="s">
        <v>152</v>
      </c>
      <c r="C36" s="33"/>
      <c r="D36" s="35"/>
      <c r="E36" s="36">
        <v>70.0</v>
      </c>
      <c r="F36" s="38">
        <v>200.0</v>
      </c>
      <c r="G36" s="75"/>
      <c r="H36" s="40"/>
      <c r="I36" s="46" t="b">
        <v>0</v>
      </c>
      <c r="J36" s="48" t="b">
        <v>1</v>
      </c>
      <c r="K36" s="48" t="str">
        <f t="shared" si="1"/>
        <v/>
      </c>
      <c r="L36" s="54" t="s">
        <v>36</v>
      </c>
    </row>
    <row r="37">
      <c r="A37" s="29">
        <v>35.0</v>
      </c>
      <c r="B37" s="72" t="s">
        <v>158</v>
      </c>
      <c r="C37" s="33"/>
      <c r="D37" s="35"/>
      <c r="E37" s="36">
        <v>72.0</v>
      </c>
      <c r="F37" s="38">
        <v>200.0</v>
      </c>
      <c r="G37" s="31"/>
      <c r="H37" s="40"/>
      <c r="I37" s="46" t="b">
        <v>0</v>
      </c>
      <c r="J37" s="48" t="b">
        <v>1</v>
      </c>
      <c r="K37" s="48" t="str">
        <f t="shared" si="1"/>
        <v/>
      </c>
      <c r="L37" s="54" t="s">
        <v>36</v>
      </c>
    </row>
    <row r="38">
      <c r="A38" s="29">
        <v>36.0</v>
      </c>
      <c r="B38" s="72" t="s">
        <v>162</v>
      </c>
      <c r="C38" s="33"/>
      <c r="D38" s="35"/>
      <c r="E38" s="36">
        <v>73.0</v>
      </c>
      <c r="F38" s="38">
        <v>200.0</v>
      </c>
      <c r="G38" s="75"/>
      <c r="H38" s="40"/>
      <c r="I38" s="76" t="b">
        <v>0</v>
      </c>
      <c r="J38" s="77" t="b">
        <v>1</v>
      </c>
      <c r="K38" s="48" t="str">
        <f t="shared" si="1"/>
        <v/>
      </c>
      <c r="L38" s="54" t="s">
        <v>36</v>
      </c>
    </row>
    <row r="39">
      <c r="A39" s="29">
        <v>37.0</v>
      </c>
      <c r="B39" s="72" t="s">
        <v>166</v>
      </c>
      <c r="C39" s="33"/>
      <c r="D39" s="35"/>
      <c r="E39" s="36">
        <v>76.0</v>
      </c>
      <c r="F39" s="38">
        <v>200.0</v>
      </c>
      <c r="G39" s="31"/>
      <c r="H39" s="40"/>
      <c r="I39" s="46" t="b">
        <v>0</v>
      </c>
      <c r="J39" s="48" t="b">
        <v>1</v>
      </c>
      <c r="K39" s="48" t="str">
        <f t="shared" si="1"/>
        <v/>
      </c>
      <c r="L39" s="54" t="s">
        <v>36</v>
      </c>
    </row>
    <row r="40">
      <c r="A40" s="29">
        <v>38.0</v>
      </c>
      <c r="B40" s="72" t="s">
        <v>172</v>
      </c>
      <c r="C40" s="33"/>
      <c r="D40" s="35"/>
      <c r="E40" s="36">
        <v>78.0</v>
      </c>
      <c r="F40" s="38">
        <v>200.0</v>
      </c>
      <c r="G40" s="31"/>
      <c r="H40" s="40"/>
      <c r="I40" s="46" t="b">
        <v>0</v>
      </c>
      <c r="J40" s="48" t="b">
        <v>1</v>
      </c>
      <c r="K40" s="48" t="str">
        <f t="shared" si="1"/>
        <v/>
      </c>
      <c r="L40" s="54" t="s">
        <v>36</v>
      </c>
    </row>
    <row r="41">
      <c r="A41" s="29">
        <v>39.0</v>
      </c>
      <c r="B41" s="81" t="s">
        <v>179</v>
      </c>
      <c r="C41" s="82"/>
      <c r="D41" s="82"/>
      <c r="E41" s="83">
        <v>79.0</v>
      </c>
      <c r="F41" s="85">
        <v>200.0</v>
      </c>
      <c r="G41" s="86"/>
      <c r="H41" s="87"/>
      <c r="I41" s="88" t="b">
        <v>0</v>
      </c>
      <c r="J41" s="89" t="b">
        <v>1</v>
      </c>
      <c r="K41" s="48" t="str">
        <f t="shared" si="1"/>
        <v/>
      </c>
      <c r="L41" s="54" t="s">
        <v>36</v>
      </c>
    </row>
    <row r="42">
      <c r="A42" s="29">
        <v>40.0</v>
      </c>
      <c r="B42" s="42" t="s">
        <v>195</v>
      </c>
      <c r="C42" s="51"/>
      <c r="D42" s="47"/>
      <c r="E42" s="90">
        <v>10.0</v>
      </c>
      <c r="F42" s="53">
        <v>200.0</v>
      </c>
      <c r="G42" s="42"/>
      <c r="H42" s="56"/>
      <c r="I42" s="58" t="b">
        <v>0</v>
      </c>
      <c r="J42" s="60" t="b">
        <v>0</v>
      </c>
      <c r="K42" s="48" t="str">
        <f t="shared" si="1"/>
        <v/>
      </c>
      <c r="L42" s="54" t="s">
        <v>36</v>
      </c>
    </row>
    <row r="43">
      <c r="A43" s="29">
        <v>41.0</v>
      </c>
      <c r="B43" s="97" t="s">
        <v>202</v>
      </c>
      <c r="C43" s="100">
        <v>6.34465087E8</v>
      </c>
      <c r="D43" s="100"/>
      <c r="E43" s="106">
        <v>17.0</v>
      </c>
      <c r="F43" s="107">
        <v>200.0</v>
      </c>
      <c r="G43" s="42"/>
      <c r="H43" s="56"/>
      <c r="I43" s="58" t="b">
        <v>0</v>
      </c>
      <c r="J43" s="60" t="b">
        <v>1</v>
      </c>
      <c r="K43" s="48" t="str">
        <f t="shared" si="1"/>
        <v/>
      </c>
      <c r="L43" s="54" t="s">
        <v>36</v>
      </c>
    </row>
    <row r="44">
      <c r="A44" s="29">
        <v>42.0</v>
      </c>
      <c r="B44" s="42" t="s">
        <v>211</v>
      </c>
      <c r="C44" s="51"/>
      <c r="D44" s="47"/>
      <c r="E44" s="90">
        <v>36.0</v>
      </c>
      <c r="F44" s="53">
        <v>200.0</v>
      </c>
      <c r="G44" s="42" t="s">
        <v>214</v>
      </c>
      <c r="H44" s="56"/>
      <c r="I44" s="58" t="b">
        <v>0</v>
      </c>
      <c r="J44" s="60" t="b">
        <v>0</v>
      </c>
      <c r="K44" s="48" t="str">
        <f t="shared" si="1"/>
        <v/>
      </c>
      <c r="L44" s="54" t="s">
        <v>36</v>
      </c>
    </row>
    <row r="45">
      <c r="A45" s="29">
        <v>43.0</v>
      </c>
      <c r="B45" s="42" t="s">
        <v>222</v>
      </c>
      <c r="C45" s="51"/>
      <c r="D45" s="47"/>
      <c r="E45" s="90">
        <v>41.0</v>
      </c>
      <c r="F45" s="53">
        <v>200.0</v>
      </c>
      <c r="G45" s="42"/>
      <c r="H45" s="56"/>
      <c r="I45" s="58" t="b">
        <v>0</v>
      </c>
      <c r="J45" s="60" t="b">
        <v>0</v>
      </c>
      <c r="K45" s="48" t="str">
        <f t="shared" si="1"/>
        <v/>
      </c>
      <c r="L45" s="54" t="s">
        <v>36</v>
      </c>
    </row>
    <row r="46">
      <c r="A46" s="29">
        <v>44.0</v>
      </c>
      <c r="B46" s="42" t="s">
        <v>231</v>
      </c>
      <c r="C46" s="51"/>
      <c r="D46" s="47"/>
      <c r="E46" s="90">
        <v>43.0</v>
      </c>
      <c r="F46" s="53">
        <v>200.0</v>
      </c>
      <c r="G46" s="42"/>
      <c r="H46" s="56"/>
      <c r="I46" s="58" t="b">
        <v>0</v>
      </c>
      <c r="J46" s="60" t="b">
        <v>0</v>
      </c>
      <c r="K46" s="48" t="str">
        <f t="shared" si="1"/>
        <v/>
      </c>
      <c r="L46" s="54" t="s">
        <v>36</v>
      </c>
    </row>
    <row r="47">
      <c r="A47" s="29">
        <v>45.0</v>
      </c>
      <c r="B47" s="31" t="s">
        <v>234</v>
      </c>
      <c r="C47" s="33"/>
      <c r="D47" s="35"/>
      <c r="E47" s="36">
        <v>54.0</v>
      </c>
      <c r="F47" s="38">
        <v>200.0</v>
      </c>
      <c r="G47" s="31"/>
      <c r="H47" s="40"/>
      <c r="I47" s="46" t="b">
        <v>0</v>
      </c>
      <c r="J47" s="48" t="b">
        <v>1</v>
      </c>
      <c r="K47" s="48" t="str">
        <f t="shared" si="1"/>
        <v/>
      </c>
      <c r="L47" s="54" t="s">
        <v>36</v>
      </c>
    </row>
    <row r="48">
      <c r="A48" s="29">
        <v>46.0</v>
      </c>
      <c r="B48" s="31" t="s">
        <v>238</v>
      </c>
      <c r="C48" s="33"/>
      <c r="D48" s="35"/>
      <c r="E48" s="36">
        <v>57.0</v>
      </c>
      <c r="F48" s="38">
        <v>200.0</v>
      </c>
      <c r="G48" s="31"/>
      <c r="H48" s="40"/>
      <c r="I48" s="46" t="b">
        <v>0</v>
      </c>
      <c r="J48" s="48" t="b">
        <v>1</v>
      </c>
      <c r="K48" s="48" t="str">
        <f t="shared" si="1"/>
        <v/>
      </c>
      <c r="L48" s="54" t="s">
        <v>36</v>
      </c>
    </row>
    <row r="49">
      <c r="A49" s="29">
        <v>47.0</v>
      </c>
      <c r="B49" s="78" t="s">
        <v>251</v>
      </c>
      <c r="C49" s="51"/>
      <c r="D49" s="47"/>
      <c r="E49" s="90">
        <v>77.0</v>
      </c>
      <c r="F49" s="53">
        <v>200.0</v>
      </c>
      <c r="G49" s="42"/>
      <c r="H49" s="56"/>
      <c r="I49" s="58" t="b">
        <v>0</v>
      </c>
      <c r="J49" s="60" t="b">
        <v>0</v>
      </c>
      <c r="K49" s="48" t="str">
        <f t="shared" si="1"/>
        <v/>
      </c>
      <c r="L49" s="54" t="s">
        <v>36</v>
      </c>
    </row>
    <row r="50">
      <c r="A50" s="29">
        <v>48.0</v>
      </c>
      <c r="B50" s="72" t="s">
        <v>254</v>
      </c>
      <c r="C50" s="33"/>
      <c r="D50" s="35"/>
      <c r="E50" s="36">
        <v>80.0</v>
      </c>
      <c r="F50" s="38">
        <v>200.0</v>
      </c>
      <c r="G50" s="75"/>
      <c r="H50" s="40"/>
      <c r="I50" s="46" t="b">
        <v>0</v>
      </c>
      <c r="J50" s="48" t="b">
        <v>1</v>
      </c>
      <c r="K50" s="48" t="str">
        <f t="shared" si="1"/>
        <v/>
      </c>
      <c r="L50" s="54" t="s">
        <v>36</v>
      </c>
    </row>
    <row r="51">
      <c r="A51" s="29">
        <v>49.0</v>
      </c>
      <c r="B51" s="78" t="s">
        <v>262</v>
      </c>
      <c r="C51" s="51"/>
      <c r="D51" s="47"/>
      <c r="E51" s="90">
        <v>81.0</v>
      </c>
      <c r="F51" s="53">
        <v>200.0</v>
      </c>
      <c r="G51" s="42"/>
      <c r="H51" s="110"/>
      <c r="I51" s="112" t="b">
        <v>0</v>
      </c>
      <c r="J51" s="113" t="b">
        <v>0</v>
      </c>
      <c r="K51" s="48" t="str">
        <f t="shared" si="1"/>
        <v/>
      </c>
      <c r="L51" s="54" t="s">
        <v>36</v>
      </c>
    </row>
    <row r="52">
      <c r="A52" s="29">
        <v>50.0</v>
      </c>
      <c r="B52" s="78" t="s">
        <v>277</v>
      </c>
      <c r="C52" s="51"/>
      <c r="D52" s="47"/>
      <c r="E52" s="90">
        <v>83.0</v>
      </c>
      <c r="F52" s="53">
        <v>200.0</v>
      </c>
      <c r="G52" s="80"/>
      <c r="H52" s="110"/>
      <c r="I52" s="112" t="b">
        <v>0</v>
      </c>
      <c r="J52" s="113" t="b">
        <v>0</v>
      </c>
      <c r="K52" s="48" t="str">
        <f t="shared" si="1"/>
        <v/>
      </c>
      <c r="L52" s="54" t="s">
        <v>36</v>
      </c>
    </row>
    <row r="53">
      <c r="A53" s="29">
        <v>51.0</v>
      </c>
      <c r="B53" s="72" t="s">
        <v>278</v>
      </c>
      <c r="C53" s="33"/>
      <c r="D53" s="35"/>
      <c r="E53" s="36">
        <v>84.0</v>
      </c>
      <c r="F53" s="38">
        <v>200.0</v>
      </c>
      <c r="G53" s="75"/>
      <c r="H53" s="115"/>
      <c r="I53" s="46" t="b">
        <v>0</v>
      </c>
      <c r="J53" s="48" t="b">
        <v>1</v>
      </c>
      <c r="K53" s="48" t="str">
        <f t="shared" si="1"/>
        <v/>
      </c>
      <c r="L53" s="54" t="s">
        <v>36</v>
      </c>
    </row>
    <row r="54">
      <c r="A54" s="29">
        <v>52.0</v>
      </c>
      <c r="B54" s="72" t="s">
        <v>283</v>
      </c>
      <c r="C54" s="33"/>
      <c r="D54" s="35"/>
      <c r="E54" s="36">
        <v>85.0</v>
      </c>
      <c r="F54" s="38">
        <v>200.0</v>
      </c>
      <c r="G54" s="75"/>
      <c r="H54" s="115"/>
      <c r="I54" s="46" t="b">
        <v>0</v>
      </c>
      <c r="J54" s="48" t="b">
        <v>1</v>
      </c>
      <c r="K54" s="48" t="str">
        <f t="shared" si="1"/>
        <v/>
      </c>
      <c r="L54" s="54" t="s">
        <v>36</v>
      </c>
    </row>
    <row r="55">
      <c r="A55" s="29">
        <v>53.0</v>
      </c>
      <c r="B55" s="78" t="s">
        <v>288</v>
      </c>
      <c r="C55" s="51"/>
      <c r="D55" s="47"/>
      <c r="E55" s="90">
        <v>87.0</v>
      </c>
      <c r="F55" s="53">
        <v>200.0</v>
      </c>
      <c r="G55" s="80"/>
      <c r="H55" s="110"/>
      <c r="I55" s="112" t="b">
        <v>0</v>
      </c>
      <c r="J55" s="60" t="b">
        <v>1</v>
      </c>
      <c r="K55" s="48" t="str">
        <f t="shared" si="1"/>
        <v/>
      </c>
      <c r="L55" s="54" t="s">
        <v>36</v>
      </c>
    </row>
    <row r="56">
      <c r="A56" s="29">
        <v>54.0</v>
      </c>
      <c r="B56" s="72" t="s">
        <v>291</v>
      </c>
      <c r="C56" s="33"/>
      <c r="D56" s="35"/>
      <c r="E56" s="36">
        <v>89.0</v>
      </c>
      <c r="F56" s="38">
        <v>200.0</v>
      </c>
      <c r="G56" s="75"/>
      <c r="H56" s="115"/>
      <c r="I56" s="76" t="b">
        <v>0</v>
      </c>
      <c r="J56" s="77" t="b">
        <v>1</v>
      </c>
      <c r="K56" s="48" t="str">
        <f t="shared" si="1"/>
        <v/>
      </c>
      <c r="L56" s="54" t="s">
        <v>36</v>
      </c>
    </row>
    <row r="57">
      <c r="A57" s="29">
        <v>55.0</v>
      </c>
      <c r="B57" s="72" t="s">
        <v>296</v>
      </c>
      <c r="C57" s="33"/>
      <c r="D57" s="35"/>
      <c r="E57" s="36">
        <v>90.0</v>
      </c>
      <c r="F57" s="38">
        <v>200.0</v>
      </c>
      <c r="G57" s="75"/>
      <c r="H57" s="115"/>
      <c r="I57" s="76" t="b">
        <v>0</v>
      </c>
      <c r="J57" s="77" t="b">
        <v>1</v>
      </c>
      <c r="K57" s="48" t="str">
        <f t="shared" si="1"/>
        <v/>
      </c>
      <c r="L57" s="54" t="s">
        <v>36</v>
      </c>
    </row>
    <row r="58">
      <c r="A58" s="29">
        <v>56.0</v>
      </c>
      <c r="B58" s="72" t="s">
        <v>300</v>
      </c>
      <c r="C58" s="33"/>
      <c r="D58" s="35"/>
      <c r="E58" s="36">
        <v>93.0</v>
      </c>
      <c r="F58" s="38">
        <v>200.0</v>
      </c>
      <c r="G58" s="75"/>
      <c r="H58" s="115"/>
      <c r="I58" s="76" t="b">
        <v>0</v>
      </c>
      <c r="J58" s="77" t="b">
        <v>1</v>
      </c>
      <c r="K58" s="48" t="str">
        <f t="shared" si="1"/>
        <v/>
      </c>
      <c r="L58" s="54" t="s">
        <v>36</v>
      </c>
    </row>
    <row r="59">
      <c r="A59" s="29">
        <v>57.0</v>
      </c>
      <c r="B59" s="78" t="s">
        <v>306</v>
      </c>
      <c r="C59" s="51"/>
      <c r="D59" s="47"/>
      <c r="E59" s="90">
        <v>94.0</v>
      </c>
      <c r="F59" s="53">
        <v>200.0</v>
      </c>
      <c r="G59" s="80"/>
      <c r="H59" s="110"/>
      <c r="I59" s="112" t="b">
        <v>0</v>
      </c>
      <c r="J59" s="60" t="b">
        <v>1</v>
      </c>
      <c r="K59" s="48" t="str">
        <f t="shared" si="1"/>
        <v/>
      </c>
      <c r="L59" s="54" t="s">
        <v>36</v>
      </c>
    </row>
    <row r="60">
      <c r="A60" s="29">
        <v>58.0</v>
      </c>
      <c r="B60" s="72" t="s">
        <v>312</v>
      </c>
      <c r="C60" s="33"/>
      <c r="D60" s="35"/>
      <c r="E60" s="36">
        <v>95.0</v>
      </c>
      <c r="F60" s="38">
        <v>200.0</v>
      </c>
      <c r="G60" s="75"/>
      <c r="H60" s="115"/>
      <c r="I60" s="76" t="b">
        <v>0</v>
      </c>
      <c r="J60" s="77" t="b">
        <v>1</v>
      </c>
      <c r="K60" s="48" t="str">
        <f t="shared" si="1"/>
        <v/>
      </c>
      <c r="L60" s="54" t="s">
        <v>36</v>
      </c>
    </row>
    <row r="61">
      <c r="A61" s="29">
        <v>59.0</v>
      </c>
      <c r="B61" s="72" t="s">
        <v>316</v>
      </c>
      <c r="C61" s="33"/>
      <c r="D61" s="35"/>
      <c r="E61" s="36">
        <v>96.0</v>
      </c>
      <c r="F61" s="38">
        <v>200.0</v>
      </c>
      <c r="G61" s="75"/>
      <c r="H61" s="115"/>
      <c r="I61" s="76" t="b">
        <v>0</v>
      </c>
      <c r="J61" s="77" t="b">
        <v>1</v>
      </c>
      <c r="K61" s="48" t="str">
        <f t="shared" si="1"/>
        <v/>
      </c>
      <c r="L61" s="54" t="s">
        <v>36</v>
      </c>
    </row>
    <row r="62">
      <c r="A62" s="29">
        <v>60.0</v>
      </c>
      <c r="B62" s="72" t="s">
        <v>322</v>
      </c>
      <c r="C62" s="33"/>
      <c r="D62" s="35"/>
      <c r="E62" s="36">
        <v>98.0</v>
      </c>
      <c r="F62" s="38">
        <v>200.0</v>
      </c>
      <c r="G62" s="75"/>
      <c r="H62" s="115"/>
      <c r="I62" s="76" t="b">
        <v>0</v>
      </c>
      <c r="J62" s="77" t="b">
        <v>1</v>
      </c>
      <c r="K62" s="48" t="str">
        <f t="shared" si="1"/>
        <v/>
      </c>
      <c r="L62" s="54" t="s">
        <v>36</v>
      </c>
    </row>
    <row r="63">
      <c r="A63" s="29">
        <v>61.0</v>
      </c>
      <c r="B63" s="72" t="s">
        <v>330</v>
      </c>
      <c r="C63" s="33"/>
      <c r="D63" s="35"/>
      <c r="E63" s="36">
        <v>99.0</v>
      </c>
      <c r="F63" s="38">
        <v>200.0</v>
      </c>
      <c r="G63" s="75"/>
      <c r="H63" s="115"/>
      <c r="I63" s="76" t="b">
        <v>0</v>
      </c>
      <c r="J63" s="77" t="b">
        <v>1</v>
      </c>
      <c r="K63" s="48" t="str">
        <f t="shared" si="1"/>
        <v/>
      </c>
      <c r="L63" s="54" t="s">
        <v>36</v>
      </c>
    </row>
    <row r="64">
      <c r="A64" s="29">
        <v>62.0</v>
      </c>
      <c r="B64" s="72" t="s">
        <v>337</v>
      </c>
      <c r="C64" s="33"/>
      <c r="D64" s="35"/>
      <c r="E64" s="36">
        <v>100.0</v>
      </c>
      <c r="F64" s="38">
        <v>200.0</v>
      </c>
      <c r="G64" s="75"/>
      <c r="H64" s="115"/>
      <c r="I64" s="46" t="b">
        <v>0</v>
      </c>
      <c r="J64" s="48" t="b">
        <v>1</v>
      </c>
      <c r="K64" s="48" t="str">
        <f t="shared" si="1"/>
        <v/>
      </c>
      <c r="L64" s="54" t="s">
        <v>36</v>
      </c>
    </row>
    <row r="65">
      <c r="A65" s="29">
        <v>63.0</v>
      </c>
      <c r="B65" s="72" t="s">
        <v>344</v>
      </c>
      <c r="C65" s="33"/>
      <c r="D65" s="35"/>
      <c r="E65" s="36">
        <v>101.0</v>
      </c>
      <c r="F65" s="38">
        <v>200.0</v>
      </c>
      <c r="G65" s="75"/>
      <c r="H65" s="115"/>
      <c r="I65" s="46" t="b">
        <v>0</v>
      </c>
      <c r="J65" s="48" t="b">
        <v>1</v>
      </c>
      <c r="K65" s="48" t="str">
        <f t="shared" si="1"/>
        <v/>
      </c>
      <c r="L65" s="54" t="s">
        <v>36</v>
      </c>
    </row>
    <row r="66">
      <c r="A66" s="29">
        <v>64.0</v>
      </c>
      <c r="B66" s="72" t="s">
        <v>357</v>
      </c>
      <c r="C66" s="33"/>
      <c r="D66" s="35"/>
      <c r="E66" s="36">
        <v>102.0</v>
      </c>
      <c r="F66" s="38">
        <v>200.0</v>
      </c>
      <c r="G66" s="75"/>
      <c r="H66" s="115"/>
      <c r="I66" s="117" t="b">
        <v>0</v>
      </c>
      <c r="J66" s="48" t="b">
        <v>1</v>
      </c>
      <c r="K66" s="48" t="str">
        <f t="shared" si="1"/>
        <v/>
      </c>
      <c r="L66" s="54" t="s">
        <v>36</v>
      </c>
    </row>
    <row r="67">
      <c r="A67" s="29">
        <v>65.0</v>
      </c>
      <c r="B67" s="72" t="s">
        <v>368</v>
      </c>
      <c r="C67" s="33"/>
      <c r="D67" s="35"/>
      <c r="E67" s="36">
        <v>103.0</v>
      </c>
      <c r="F67" s="38">
        <v>200.0</v>
      </c>
      <c r="G67" s="75"/>
      <c r="H67" s="115"/>
      <c r="I67" s="46" t="b">
        <v>0</v>
      </c>
      <c r="J67" s="48" t="b">
        <v>1</v>
      </c>
      <c r="K67" s="48" t="str">
        <f t="shared" si="1"/>
        <v/>
      </c>
      <c r="L67" s="54" t="s">
        <v>36</v>
      </c>
    </row>
    <row r="68">
      <c r="A68" s="29">
        <v>66.0</v>
      </c>
      <c r="B68" s="78" t="s">
        <v>376</v>
      </c>
      <c r="C68" s="51"/>
      <c r="D68" s="47"/>
      <c r="E68" s="90">
        <v>105.0</v>
      </c>
      <c r="F68" s="53">
        <v>200.0</v>
      </c>
      <c r="G68" s="80"/>
      <c r="H68" s="110"/>
      <c r="I68" s="58" t="b">
        <v>0</v>
      </c>
      <c r="J68" s="60" t="b">
        <v>0</v>
      </c>
      <c r="K68" s="48" t="str">
        <f t="shared" si="1"/>
        <v/>
      </c>
      <c r="L68" s="54" t="s">
        <v>36</v>
      </c>
    </row>
    <row r="69">
      <c r="A69" s="29">
        <v>67.0</v>
      </c>
      <c r="B69" s="72" t="s">
        <v>383</v>
      </c>
      <c r="C69" s="33"/>
      <c r="D69" s="35"/>
      <c r="E69" s="36">
        <v>106.0</v>
      </c>
      <c r="F69" s="38">
        <v>200.0</v>
      </c>
      <c r="G69" s="75"/>
      <c r="H69" s="115"/>
      <c r="I69" s="46" t="b">
        <v>0</v>
      </c>
      <c r="J69" s="48" t="b">
        <v>1</v>
      </c>
      <c r="K69" s="48" t="str">
        <f t="shared" si="1"/>
        <v/>
      </c>
      <c r="L69" s="54" t="s">
        <v>36</v>
      </c>
    </row>
    <row r="70">
      <c r="A70" s="29">
        <v>68.0</v>
      </c>
      <c r="B70" s="78" t="s">
        <v>398</v>
      </c>
      <c r="C70" s="51"/>
      <c r="D70" s="47"/>
      <c r="E70" s="90">
        <v>107.0</v>
      </c>
      <c r="F70" s="53">
        <v>200.0</v>
      </c>
      <c r="G70" s="80"/>
      <c r="H70" s="110"/>
      <c r="I70" s="112" t="b">
        <v>0</v>
      </c>
      <c r="J70" s="113" t="b">
        <v>0</v>
      </c>
      <c r="K70" s="48" t="str">
        <f t="shared" si="1"/>
        <v/>
      </c>
      <c r="L70" s="54" t="s">
        <v>36</v>
      </c>
    </row>
    <row r="71">
      <c r="A71" s="29">
        <v>69.0</v>
      </c>
      <c r="B71" s="72" t="s">
        <v>291</v>
      </c>
      <c r="C71" s="33"/>
      <c r="D71" s="35"/>
      <c r="E71" s="36">
        <v>108.0</v>
      </c>
      <c r="F71" s="38">
        <v>200.0</v>
      </c>
      <c r="G71" s="75"/>
      <c r="H71" s="115"/>
      <c r="I71" s="46" t="b">
        <v>0</v>
      </c>
      <c r="J71" s="48" t="b">
        <v>1</v>
      </c>
      <c r="K71" s="48" t="str">
        <f t="shared" si="1"/>
        <v/>
      </c>
      <c r="L71" s="54" t="s">
        <v>36</v>
      </c>
    </row>
    <row r="72">
      <c r="A72" s="29">
        <v>70.0</v>
      </c>
      <c r="B72" s="72" t="s">
        <v>408</v>
      </c>
      <c r="C72" s="33"/>
      <c r="D72" s="35"/>
      <c r="E72" s="36">
        <v>109.0</v>
      </c>
      <c r="F72" s="38">
        <v>200.0</v>
      </c>
      <c r="G72" s="75"/>
      <c r="H72" s="115"/>
      <c r="I72" s="76" t="b">
        <v>0</v>
      </c>
      <c r="J72" s="77" t="b">
        <v>1</v>
      </c>
      <c r="K72" s="48" t="str">
        <f t="shared" si="1"/>
        <v/>
      </c>
      <c r="L72" s="54" t="s">
        <v>36</v>
      </c>
    </row>
    <row r="73">
      <c r="A73" s="29">
        <v>71.0</v>
      </c>
      <c r="B73" s="72" t="s">
        <v>419</v>
      </c>
      <c r="C73" s="33"/>
      <c r="D73" s="35"/>
      <c r="E73" s="36">
        <v>110.0</v>
      </c>
      <c r="F73" s="38">
        <v>200.0</v>
      </c>
      <c r="G73" s="75"/>
      <c r="H73" s="115"/>
      <c r="I73" s="76" t="b">
        <v>0</v>
      </c>
      <c r="J73" s="77" t="b">
        <v>1</v>
      </c>
      <c r="K73" s="48" t="str">
        <f t="shared" si="1"/>
        <v/>
      </c>
      <c r="L73" s="54" t="s">
        <v>36</v>
      </c>
    </row>
    <row r="74">
      <c r="A74" s="29">
        <v>72.0</v>
      </c>
      <c r="B74" s="72" t="s">
        <v>424</v>
      </c>
      <c r="C74" s="33"/>
      <c r="D74" s="35"/>
      <c r="E74" s="36">
        <v>111.0</v>
      </c>
      <c r="F74" s="38">
        <v>200.0</v>
      </c>
      <c r="G74" s="75"/>
      <c r="H74" s="115"/>
      <c r="I74" s="76" t="b">
        <v>0</v>
      </c>
      <c r="J74" s="77" t="b">
        <v>1</v>
      </c>
      <c r="K74" s="48" t="str">
        <f t="shared" si="1"/>
        <v/>
      </c>
      <c r="L74" s="54" t="s">
        <v>36</v>
      </c>
    </row>
    <row r="75">
      <c r="A75" s="29">
        <v>73.0</v>
      </c>
      <c r="B75" s="72" t="s">
        <v>432</v>
      </c>
      <c r="C75" s="33"/>
      <c r="D75" s="35"/>
      <c r="E75" s="36">
        <v>112.0</v>
      </c>
      <c r="F75" s="38">
        <v>200.0</v>
      </c>
      <c r="G75" s="75"/>
      <c r="H75" s="115"/>
      <c r="I75" s="76" t="b">
        <v>0</v>
      </c>
      <c r="J75" s="77" t="b">
        <v>1</v>
      </c>
      <c r="K75" s="48" t="str">
        <f t="shared" si="1"/>
        <v/>
      </c>
      <c r="L75" s="54" t="s">
        <v>36</v>
      </c>
    </row>
    <row r="76">
      <c r="A76" s="29">
        <v>74.0</v>
      </c>
      <c r="B76" s="72" t="s">
        <v>440</v>
      </c>
      <c r="C76" s="33"/>
      <c r="D76" s="35"/>
      <c r="E76" s="36">
        <v>113.0</v>
      </c>
      <c r="F76" s="38">
        <v>200.0</v>
      </c>
      <c r="G76" s="75"/>
      <c r="H76" s="115"/>
      <c r="I76" s="46" t="b">
        <v>1</v>
      </c>
      <c r="J76" s="48" t="b">
        <v>1</v>
      </c>
      <c r="K76" s="48" t="str">
        <f t="shared" si="1"/>
        <v/>
      </c>
      <c r="L76" s="54" t="s">
        <v>36</v>
      </c>
    </row>
    <row r="77">
      <c r="A77" s="29">
        <v>75.0</v>
      </c>
      <c r="B77" s="72" t="s">
        <v>445</v>
      </c>
      <c r="C77" s="33"/>
      <c r="D77" s="35"/>
      <c r="E77" s="36">
        <v>116.0</v>
      </c>
      <c r="F77" s="38">
        <v>200.0</v>
      </c>
      <c r="G77" s="75"/>
      <c r="H77" s="115"/>
      <c r="I77" s="46" t="b">
        <v>0</v>
      </c>
      <c r="J77" s="48" t="b">
        <v>1</v>
      </c>
      <c r="K77" s="48" t="str">
        <f t="shared" si="1"/>
        <v/>
      </c>
      <c r="L77" s="54" t="s">
        <v>36</v>
      </c>
    </row>
    <row r="78">
      <c r="A78" s="29">
        <v>76.0</v>
      </c>
      <c r="B78" s="72" t="s">
        <v>450</v>
      </c>
      <c r="C78" s="33"/>
      <c r="D78" s="35"/>
      <c r="E78" s="36">
        <v>117.0</v>
      </c>
      <c r="F78" s="38">
        <v>200.0</v>
      </c>
      <c r="G78" s="75"/>
      <c r="H78" s="115"/>
      <c r="I78" s="46" t="b">
        <v>0</v>
      </c>
      <c r="J78" s="48" t="b">
        <v>1</v>
      </c>
      <c r="K78" s="48" t="str">
        <f t="shared" si="1"/>
        <v/>
      </c>
      <c r="L78" s="54" t="s">
        <v>36</v>
      </c>
    </row>
    <row r="79">
      <c r="A79" s="29">
        <v>77.0</v>
      </c>
      <c r="B79" s="72" t="s">
        <v>455</v>
      </c>
      <c r="C79" s="33"/>
      <c r="D79" s="35"/>
      <c r="E79" s="36">
        <v>118.0</v>
      </c>
      <c r="F79" s="38">
        <v>200.0</v>
      </c>
      <c r="G79" s="75"/>
      <c r="H79" s="115"/>
      <c r="I79" s="46" t="b">
        <v>0</v>
      </c>
      <c r="J79" s="48" t="b">
        <v>1</v>
      </c>
      <c r="K79" s="48" t="str">
        <f t="shared" si="1"/>
        <v/>
      </c>
      <c r="L79" s="54" t="s">
        <v>36</v>
      </c>
    </row>
    <row r="80">
      <c r="A80" s="29">
        <v>78.0</v>
      </c>
      <c r="B80" s="78" t="s">
        <v>457</v>
      </c>
      <c r="C80" s="51"/>
      <c r="D80" s="47"/>
      <c r="E80" s="90">
        <v>119.0</v>
      </c>
      <c r="F80" s="53">
        <v>200.0</v>
      </c>
      <c r="G80" s="80"/>
      <c r="H80" s="110"/>
      <c r="I80" s="112" t="b">
        <v>0</v>
      </c>
      <c r="J80" s="113" t="b">
        <v>0</v>
      </c>
      <c r="K80" s="48" t="str">
        <f t="shared" si="1"/>
        <v/>
      </c>
      <c r="L80" s="54" t="s">
        <v>36</v>
      </c>
    </row>
    <row r="81">
      <c r="A81" s="29">
        <v>79.0</v>
      </c>
      <c r="B81" s="78" t="s">
        <v>462</v>
      </c>
      <c r="C81" s="51"/>
      <c r="D81" s="47"/>
      <c r="E81" s="90">
        <v>120.0</v>
      </c>
      <c r="F81" s="53">
        <v>200.0</v>
      </c>
      <c r="G81" s="80"/>
      <c r="H81" s="110"/>
      <c r="I81" s="112" t="b">
        <v>0</v>
      </c>
      <c r="J81" s="60" t="b">
        <v>1</v>
      </c>
      <c r="K81" s="48" t="str">
        <f t="shared" si="1"/>
        <v/>
      </c>
      <c r="L81" s="54" t="s">
        <v>36</v>
      </c>
    </row>
    <row r="82">
      <c r="A82" s="29">
        <v>80.0</v>
      </c>
      <c r="B82" s="72" t="s">
        <v>464</v>
      </c>
      <c r="C82" s="33"/>
      <c r="D82" s="35"/>
      <c r="E82" s="36">
        <v>121.0</v>
      </c>
      <c r="F82" s="38">
        <v>200.0</v>
      </c>
      <c r="G82" s="75"/>
      <c r="H82" s="115"/>
      <c r="I82" s="76" t="b">
        <v>0</v>
      </c>
      <c r="J82" s="77" t="b">
        <v>1</v>
      </c>
      <c r="K82" s="48" t="str">
        <f t="shared" si="1"/>
        <v/>
      </c>
      <c r="L82" s="54" t="s">
        <v>36</v>
      </c>
    </row>
    <row r="83">
      <c r="A83" s="29">
        <v>81.0</v>
      </c>
      <c r="B83" s="72" t="s">
        <v>468</v>
      </c>
      <c r="C83" s="33"/>
      <c r="D83" s="35"/>
      <c r="E83" s="36">
        <v>122.0</v>
      </c>
      <c r="F83" s="38">
        <v>200.0</v>
      </c>
      <c r="G83" s="75"/>
      <c r="H83" s="115"/>
      <c r="I83" s="76" t="b">
        <v>0</v>
      </c>
      <c r="J83" s="77" t="b">
        <v>1</v>
      </c>
      <c r="K83" s="48" t="str">
        <f t="shared" si="1"/>
        <v/>
      </c>
      <c r="L83" s="54" t="s">
        <v>36</v>
      </c>
    </row>
    <row r="84">
      <c r="A84" s="29">
        <v>82.0</v>
      </c>
      <c r="B84" s="72" t="s">
        <v>470</v>
      </c>
      <c r="C84" s="33"/>
      <c r="D84" s="35"/>
      <c r="E84" s="36">
        <v>123.0</v>
      </c>
      <c r="F84" s="38">
        <v>200.0</v>
      </c>
      <c r="G84" s="75"/>
      <c r="H84" s="115"/>
      <c r="I84" s="46" t="b">
        <v>0</v>
      </c>
      <c r="J84" s="48" t="b">
        <v>1</v>
      </c>
      <c r="K84" s="48" t="str">
        <f t="shared" si="1"/>
        <v/>
      </c>
      <c r="L84" s="54" t="s">
        <v>36</v>
      </c>
    </row>
    <row r="85">
      <c r="A85" s="29">
        <v>83.0</v>
      </c>
      <c r="B85" s="72" t="s">
        <v>471</v>
      </c>
      <c r="C85" s="33"/>
      <c r="D85" s="35"/>
      <c r="E85" s="36">
        <v>124.0</v>
      </c>
      <c r="F85" s="38">
        <v>200.0</v>
      </c>
      <c r="G85" s="75"/>
      <c r="H85" s="115"/>
      <c r="I85" s="46" t="b">
        <v>0</v>
      </c>
      <c r="J85" s="48" t="b">
        <v>1</v>
      </c>
      <c r="K85" s="48" t="str">
        <f t="shared" si="1"/>
        <v/>
      </c>
      <c r="L85" s="54" t="s">
        <v>36</v>
      </c>
    </row>
    <row r="86">
      <c r="A86" s="29">
        <v>84.0</v>
      </c>
      <c r="B86" s="72" t="s">
        <v>473</v>
      </c>
      <c r="C86" s="33"/>
      <c r="D86" s="35"/>
      <c r="E86" s="36">
        <v>125.0</v>
      </c>
      <c r="F86" s="38">
        <v>200.0</v>
      </c>
      <c r="G86" s="75"/>
      <c r="H86" s="115"/>
      <c r="I86" s="46" t="b">
        <v>0</v>
      </c>
      <c r="J86" s="48" t="b">
        <v>1</v>
      </c>
      <c r="K86" s="48" t="str">
        <f t="shared" si="1"/>
        <v/>
      </c>
      <c r="L86" s="54" t="s">
        <v>36</v>
      </c>
    </row>
    <row r="87">
      <c r="A87" s="29">
        <v>85.0</v>
      </c>
      <c r="B87" s="72" t="s">
        <v>479</v>
      </c>
      <c r="C87" s="33"/>
      <c r="D87" s="35"/>
      <c r="E87" s="36">
        <v>127.0</v>
      </c>
      <c r="F87" s="38">
        <v>200.0</v>
      </c>
      <c r="G87" s="75"/>
      <c r="H87" s="115"/>
      <c r="I87" s="46" t="b">
        <v>0</v>
      </c>
      <c r="J87" s="48" t="b">
        <v>1</v>
      </c>
      <c r="K87" s="48" t="str">
        <f t="shared" si="1"/>
        <v/>
      </c>
      <c r="L87" s="54" t="s">
        <v>36</v>
      </c>
    </row>
    <row r="88">
      <c r="A88" s="29">
        <v>86.0</v>
      </c>
      <c r="B88" s="72" t="s">
        <v>481</v>
      </c>
      <c r="C88" s="33"/>
      <c r="D88" s="35"/>
      <c r="E88" s="36">
        <v>128.0</v>
      </c>
      <c r="F88" s="38">
        <v>200.0</v>
      </c>
      <c r="G88" s="75"/>
      <c r="H88" s="115"/>
      <c r="I88" s="46" t="b">
        <v>0</v>
      </c>
      <c r="J88" s="48" t="b">
        <v>1</v>
      </c>
      <c r="K88" s="48" t="str">
        <f t="shared" si="1"/>
        <v/>
      </c>
      <c r="L88" s="54" t="s">
        <v>36</v>
      </c>
    </row>
    <row r="89">
      <c r="A89" s="29">
        <v>87.0</v>
      </c>
      <c r="B89" s="72" t="s">
        <v>487</v>
      </c>
      <c r="C89" s="33"/>
      <c r="D89" s="35"/>
      <c r="E89" s="36">
        <v>129.0</v>
      </c>
      <c r="F89" s="38">
        <v>200.0</v>
      </c>
      <c r="G89" s="75"/>
      <c r="H89" s="115"/>
      <c r="I89" s="46" t="b">
        <v>0</v>
      </c>
      <c r="J89" s="48" t="b">
        <v>1</v>
      </c>
      <c r="K89" s="48" t="str">
        <f t="shared" si="1"/>
        <v/>
      </c>
      <c r="L89" s="54" t="s">
        <v>36</v>
      </c>
    </row>
    <row r="90">
      <c r="A90" s="29">
        <v>88.0</v>
      </c>
      <c r="B90" s="78" t="s">
        <v>493</v>
      </c>
      <c r="C90" s="51"/>
      <c r="D90" s="47"/>
      <c r="E90" s="90">
        <v>130.0</v>
      </c>
      <c r="F90" s="53">
        <v>200.0</v>
      </c>
      <c r="G90" s="80"/>
      <c r="H90" s="110"/>
      <c r="I90" s="112" t="b">
        <v>0</v>
      </c>
      <c r="J90" s="113" t="b">
        <v>0</v>
      </c>
      <c r="K90" s="48" t="str">
        <f t="shared" si="1"/>
        <v/>
      </c>
      <c r="L90" s="54" t="s">
        <v>36</v>
      </c>
    </row>
    <row r="91">
      <c r="A91" s="29">
        <v>89.0</v>
      </c>
      <c r="B91" s="127" t="s">
        <v>499</v>
      </c>
      <c r="C91" s="128"/>
      <c r="D91" s="129"/>
      <c r="E91" s="130">
        <v>131.0</v>
      </c>
      <c r="F91" s="131">
        <v>200.0</v>
      </c>
      <c r="G91" s="132"/>
      <c r="H91" s="133"/>
      <c r="I91" s="134" t="b">
        <v>0</v>
      </c>
      <c r="J91" s="135" t="b">
        <v>0</v>
      </c>
      <c r="K91" s="48" t="str">
        <f t="shared" si="1"/>
        <v/>
      </c>
      <c r="L91" s="54" t="s">
        <v>36</v>
      </c>
    </row>
    <row r="92">
      <c r="A92" s="29">
        <v>90.0</v>
      </c>
      <c r="B92" s="78" t="s">
        <v>519</v>
      </c>
      <c r="C92" s="51"/>
      <c r="D92" s="47"/>
      <c r="E92" s="90">
        <v>133.0</v>
      </c>
      <c r="F92" s="53">
        <v>200.0</v>
      </c>
      <c r="G92" s="80"/>
      <c r="H92" s="110"/>
      <c r="I92" s="112" t="b">
        <v>0</v>
      </c>
      <c r="J92" s="113" t="b">
        <v>0</v>
      </c>
      <c r="K92" s="48" t="str">
        <f t="shared" si="1"/>
        <v/>
      </c>
      <c r="L92" s="54" t="s">
        <v>36</v>
      </c>
    </row>
    <row r="93">
      <c r="A93" s="29">
        <v>91.0</v>
      </c>
      <c r="B93" s="72" t="s">
        <v>526</v>
      </c>
      <c r="C93" s="33"/>
      <c r="D93" s="35"/>
      <c r="E93" s="36">
        <v>134.0</v>
      </c>
      <c r="F93" s="38">
        <v>200.0</v>
      </c>
      <c r="G93" s="75"/>
      <c r="H93" s="115"/>
      <c r="I93" s="46" t="b">
        <v>0</v>
      </c>
      <c r="J93" s="48" t="b">
        <v>1</v>
      </c>
      <c r="K93" s="48" t="str">
        <f t="shared" si="1"/>
        <v/>
      </c>
      <c r="L93" s="54" t="s">
        <v>36</v>
      </c>
    </row>
    <row r="94">
      <c r="A94" s="29">
        <v>92.0</v>
      </c>
      <c r="B94" s="72" t="s">
        <v>531</v>
      </c>
      <c r="C94" s="33"/>
      <c r="D94" s="35"/>
      <c r="E94" s="36">
        <v>135.0</v>
      </c>
      <c r="F94" s="38">
        <v>200.0</v>
      </c>
      <c r="G94" s="75"/>
      <c r="H94" s="115"/>
      <c r="I94" s="46" t="b">
        <v>0</v>
      </c>
      <c r="J94" s="48" t="b">
        <v>1</v>
      </c>
      <c r="K94" s="48" t="str">
        <f t="shared" si="1"/>
        <v/>
      </c>
      <c r="L94" s="54" t="s">
        <v>36</v>
      </c>
    </row>
    <row r="95">
      <c r="A95" s="29">
        <v>93.0</v>
      </c>
      <c r="B95" s="72" t="s">
        <v>535</v>
      </c>
      <c r="C95" s="33"/>
      <c r="D95" s="35"/>
      <c r="E95" s="36">
        <v>136.0</v>
      </c>
      <c r="F95" s="38">
        <v>200.0</v>
      </c>
      <c r="G95" s="75"/>
      <c r="H95" s="115"/>
      <c r="I95" s="46" t="b">
        <v>0</v>
      </c>
      <c r="J95" s="48" t="b">
        <v>1</v>
      </c>
      <c r="K95" s="48" t="str">
        <f t="shared" si="1"/>
        <v/>
      </c>
      <c r="L95" s="54" t="s">
        <v>36</v>
      </c>
    </row>
    <row r="96">
      <c r="A96" s="29">
        <v>94.0</v>
      </c>
      <c r="B96" s="72" t="s">
        <v>547</v>
      </c>
      <c r="C96" s="33"/>
      <c r="D96" s="35"/>
      <c r="E96" s="36">
        <v>137.0</v>
      </c>
      <c r="F96" s="38">
        <v>200.0</v>
      </c>
      <c r="G96" s="75"/>
      <c r="H96" s="115"/>
      <c r="I96" s="117" t="b">
        <v>0</v>
      </c>
      <c r="J96" s="48" t="b">
        <v>1</v>
      </c>
      <c r="K96" s="48" t="str">
        <f t="shared" si="1"/>
        <v/>
      </c>
      <c r="L96" s="54" t="s">
        <v>36</v>
      </c>
    </row>
    <row r="97">
      <c r="A97" s="29">
        <v>95.0</v>
      </c>
      <c r="B97" s="72" t="s">
        <v>551</v>
      </c>
      <c r="C97" s="33"/>
      <c r="D97" s="35"/>
      <c r="E97" s="36">
        <v>138.0</v>
      </c>
      <c r="F97" s="38">
        <v>200.0</v>
      </c>
      <c r="G97" s="75"/>
      <c r="H97" s="115"/>
      <c r="I97" s="46" t="b">
        <v>1</v>
      </c>
      <c r="J97" s="48" t="b">
        <v>1</v>
      </c>
      <c r="K97" s="48" t="str">
        <f t="shared" si="1"/>
        <v/>
      </c>
      <c r="L97" s="54" t="s">
        <v>36</v>
      </c>
    </row>
    <row r="98">
      <c r="A98" s="29">
        <v>96.0</v>
      </c>
      <c r="B98" s="72" t="s">
        <v>555</v>
      </c>
      <c r="C98" s="33"/>
      <c r="D98" s="35"/>
      <c r="E98" s="36">
        <v>139.0</v>
      </c>
      <c r="F98" s="38">
        <v>200.0</v>
      </c>
      <c r="G98" s="75"/>
      <c r="H98" s="115"/>
      <c r="I98" s="46" t="b">
        <v>0</v>
      </c>
      <c r="J98" s="48" t="b">
        <v>1</v>
      </c>
      <c r="K98" s="48" t="str">
        <f t="shared" si="1"/>
        <v/>
      </c>
      <c r="L98" s="54" t="s">
        <v>36</v>
      </c>
    </row>
    <row r="99">
      <c r="A99" s="29">
        <v>97.0</v>
      </c>
      <c r="B99" s="78" t="s">
        <v>559</v>
      </c>
      <c r="C99" s="51"/>
      <c r="D99" s="47"/>
      <c r="E99" s="90">
        <v>140.0</v>
      </c>
      <c r="F99" s="53">
        <v>200.0</v>
      </c>
      <c r="G99" s="80"/>
      <c r="H99" s="110"/>
      <c r="I99" s="58" t="b">
        <v>0</v>
      </c>
      <c r="J99" s="60" t="b">
        <v>0</v>
      </c>
      <c r="K99" s="48" t="str">
        <f t="shared" si="1"/>
        <v/>
      </c>
      <c r="L99" s="54" t="s">
        <v>36</v>
      </c>
    </row>
    <row r="100">
      <c r="A100" s="29">
        <v>98.0</v>
      </c>
      <c r="B100" s="72" t="s">
        <v>565</v>
      </c>
      <c r="C100" s="33"/>
      <c r="D100" s="35"/>
      <c r="E100" s="36">
        <v>141.0</v>
      </c>
      <c r="F100" s="38">
        <v>200.0</v>
      </c>
      <c r="G100" s="75"/>
      <c r="H100" s="115"/>
      <c r="I100" s="46" t="b">
        <v>0</v>
      </c>
      <c r="J100" s="48" t="b">
        <v>1</v>
      </c>
      <c r="K100" s="48" t="str">
        <f t="shared" si="1"/>
        <v/>
      </c>
      <c r="L100" s="54" t="s">
        <v>36</v>
      </c>
    </row>
    <row r="101">
      <c r="A101" s="29">
        <v>99.0</v>
      </c>
      <c r="B101" s="72" t="s">
        <v>569</v>
      </c>
      <c r="C101" s="33"/>
      <c r="D101" s="35"/>
      <c r="E101" s="36">
        <v>144.0</v>
      </c>
      <c r="F101" s="38">
        <v>200.0</v>
      </c>
      <c r="G101" s="75"/>
      <c r="H101" s="115"/>
      <c r="I101" s="46" t="b">
        <v>0</v>
      </c>
      <c r="J101" s="48" t="b">
        <v>1</v>
      </c>
      <c r="K101" s="48" t="str">
        <f t="shared" si="1"/>
        <v/>
      </c>
      <c r="L101" s="54" t="s">
        <v>36</v>
      </c>
    </row>
    <row r="102">
      <c r="A102" s="29">
        <v>100.0</v>
      </c>
      <c r="B102" s="72" t="s">
        <v>573</v>
      </c>
      <c r="C102" s="33"/>
      <c r="D102" s="35"/>
      <c r="E102" s="36">
        <v>145.0</v>
      </c>
      <c r="F102" s="38">
        <v>200.0</v>
      </c>
      <c r="G102" s="75"/>
      <c r="H102" s="115"/>
      <c r="I102" s="46" t="b">
        <v>0</v>
      </c>
      <c r="J102" s="48" t="b">
        <v>1</v>
      </c>
      <c r="K102" s="48" t="str">
        <f t="shared" si="1"/>
        <v/>
      </c>
      <c r="L102" s="54" t="s">
        <v>36</v>
      </c>
    </row>
    <row r="103">
      <c r="A103" s="29">
        <v>101.0</v>
      </c>
      <c r="B103" s="72" t="s">
        <v>577</v>
      </c>
      <c r="C103" s="33"/>
      <c r="D103" s="35"/>
      <c r="E103" s="36">
        <v>146.0</v>
      </c>
      <c r="F103" s="38">
        <v>200.0</v>
      </c>
      <c r="G103" s="75"/>
      <c r="H103" s="115"/>
      <c r="I103" s="46" t="b">
        <v>0</v>
      </c>
      <c r="J103" s="48" t="b">
        <v>1</v>
      </c>
      <c r="K103" s="48" t="str">
        <f t="shared" si="1"/>
        <v/>
      </c>
      <c r="L103" s="54" t="s">
        <v>36</v>
      </c>
    </row>
    <row r="104">
      <c r="A104" s="29">
        <v>102.0</v>
      </c>
      <c r="B104" s="72" t="s">
        <v>582</v>
      </c>
      <c r="C104" s="33"/>
      <c r="D104" s="35"/>
      <c r="E104" s="36">
        <v>147.0</v>
      </c>
      <c r="F104" s="38">
        <v>200.0</v>
      </c>
      <c r="G104" s="75"/>
      <c r="H104" s="115"/>
      <c r="I104" s="117" t="b">
        <v>0</v>
      </c>
      <c r="J104" s="48" t="b">
        <v>1</v>
      </c>
      <c r="K104" s="48" t="str">
        <f t="shared" si="1"/>
        <v/>
      </c>
      <c r="L104" s="54" t="s">
        <v>36</v>
      </c>
    </row>
    <row r="105">
      <c r="A105" s="29">
        <v>103.0</v>
      </c>
      <c r="B105" s="72" t="s">
        <v>585</v>
      </c>
      <c r="C105" s="33"/>
      <c r="D105" s="35"/>
      <c r="E105" s="36">
        <v>150.0</v>
      </c>
      <c r="F105" s="38">
        <v>200.0</v>
      </c>
      <c r="G105" s="75"/>
      <c r="H105" s="115"/>
      <c r="I105" s="46" t="b">
        <v>0</v>
      </c>
      <c r="J105" s="48" t="b">
        <v>1</v>
      </c>
      <c r="K105" s="48" t="str">
        <f t="shared" si="1"/>
        <v/>
      </c>
      <c r="L105" s="54" t="s">
        <v>36</v>
      </c>
    </row>
    <row r="106">
      <c r="A106" s="29">
        <v>104.0</v>
      </c>
      <c r="B106" s="72" t="s">
        <v>589</v>
      </c>
      <c r="C106" s="33"/>
      <c r="D106" s="35"/>
      <c r="E106" s="36">
        <v>151.0</v>
      </c>
      <c r="F106" s="38">
        <v>200.0</v>
      </c>
      <c r="G106" s="75"/>
      <c r="H106" s="115"/>
      <c r="I106" s="117" t="b">
        <v>0</v>
      </c>
      <c r="J106" s="48" t="b">
        <v>1</v>
      </c>
      <c r="K106" s="48" t="str">
        <f t="shared" si="1"/>
        <v/>
      </c>
      <c r="L106" s="54" t="s">
        <v>36</v>
      </c>
    </row>
    <row r="107">
      <c r="A107" s="29">
        <v>105.0</v>
      </c>
      <c r="B107" s="72" t="s">
        <v>591</v>
      </c>
      <c r="C107" s="33"/>
      <c r="D107" s="35"/>
      <c r="E107" s="36">
        <v>154.0</v>
      </c>
      <c r="F107" s="38">
        <v>200.0</v>
      </c>
      <c r="G107" s="75"/>
      <c r="H107" s="115"/>
      <c r="I107" s="46" t="b">
        <v>0</v>
      </c>
      <c r="J107" s="48" t="b">
        <v>1</v>
      </c>
      <c r="K107" s="48" t="str">
        <f t="shared" si="1"/>
        <v/>
      </c>
      <c r="L107" s="54" t="s">
        <v>36</v>
      </c>
    </row>
    <row r="108">
      <c r="A108" s="29">
        <v>106.0</v>
      </c>
      <c r="B108" s="72" t="s">
        <v>594</v>
      </c>
      <c r="C108" s="33"/>
      <c r="D108" s="35"/>
      <c r="E108" s="36">
        <v>160.0</v>
      </c>
      <c r="F108" s="38">
        <v>200.0</v>
      </c>
      <c r="G108" s="75"/>
      <c r="H108" s="115"/>
      <c r="I108" s="46" t="b">
        <v>0</v>
      </c>
      <c r="J108" s="48" t="b">
        <v>1</v>
      </c>
      <c r="K108" s="48" t="str">
        <f t="shared" si="1"/>
        <v/>
      </c>
      <c r="L108" s="54" t="s">
        <v>36</v>
      </c>
    </row>
    <row r="109">
      <c r="A109" s="29">
        <v>107.0</v>
      </c>
      <c r="B109" s="78" t="s">
        <v>598</v>
      </c>
      <c r="C109" s="51"/>
      <c r="D109" s="47"/>
      <c r="E109" s="90">
        <v>161.0</v>
      </c>
      <c r="F109" s="53">
        <v>200.0</v>
      </c>
      <c r="G109" s="42" t="s">
        <v>600</v>
      </c>
      <c r="H109" s="110"/>
      <c r="I109" s="112" t="b">
        <v>0</v>
      </c>
      <c r="J109" s="60" t="b">
        <v>1</v>
      </c>
      <c r="K109" s="48" t="str">
        <f t="shared" si="1"/>
        <v/>
      </c>
      <c r="L109" s="54" t="s">
        <v>36</v>
      </c>
    </row>
    <row r="110">
      <c r="A110" s="29">
        <v>108.0</v>
      </c>
      <c r="B110" s="72" t="s">
        <v>603</v>
      </c>
      <c r="C110" s="33"/>
      <c r="D110" s="35"/>
      <c r="E110" s="36">
        <v>162.0</v>
      </c>
      <c r="F110" s="38">
        <v>200.0</v>
      </c>
      <c r="G110" s="75"/>
      <c r="H110" s="115"/>
      <c r="I110" s="117" t="b">
        <v>0</v>
      </c>
      <c r="J110" s="48" t="b">
        <v>1</v>
      </c>
      <c r="K110" s="48" t="str">
        <f t="shared" si="1"/>
        <v/>
      </c>
      <c r="L110" s="54" t="s">
        <v>36</v>
      </c>
    </row>
    <row r="111">
      <c r="A111" s="29">
        <v>109.0</v>
      </c>
      <c r="B111" s="72" t="s">
        <v>608</v>
      </c>
      <c r="C111" s="33"/>
      <c r="D111" s="35"/>
      <c r="E111" s="36">
        <v>163.0</v>
      </c>
      <c r="F111" s="38">
        <v>200.0</v>
      </c>
      <c r="G111" s="75"/>
      <c r="H111" s="115"/>
      <c r="I111" s="46" t="b">
        <v>0</v>
      </c>
      <c r="J111" s="48" t="b">
        <v>1</v>
      </c>
      <c r="K111" s="48" t="str">
        <f t="shared" si="1"/>
        <v/>
      </c>
      <c r="L111" s="54" t="s">
        <v>36</v>
      </c>
    </row>
    <row r="112">
      <c r="A112" s="29">
        <v>110.0</v>
      </c>
      <c r="B112" s="72" t="s">
        <v>610</v>
      </c>
      <c r="C112" s="33"/>
      <c r="D112" s="35"/>
      <c r="E112" s="36">
        <v>166.0</v>
      </c>
      <c r="F112" s="38">
        <v>200.0</v>
      </c>
      <c r="G112" s="75"/>
      <c r="H112" s="115"/>
      <c r="I112" s="117" t="b">
        <v>0</v>
      </c>
      <c r="J112" s="48" t="b">
        <v>1</v>
      </c>
      <c r="K112" s="48" t="str">
        <f t="shared" si="1"/>
        <v/>
      </c>
      <c r="L112" s="54" t="s">
        <v>36</v>
      </c>
    </row>
    <row r="113">
      <c r="A113" s="29">
        <v>111.0</v>
      </c>
      <c r="B113" s="78" t="s">
        <v>615</v>
      </c>
      <c r="C113" s="51"/>
      <c r="D113" s="47"/>
      <c r="E113" s="90">
        <v>168.0</v>
      </c>
      <c r="F113" s="53">
        <v>200.0</v>
      </c>
      <c r="G113" s="80"/>
      <c r="H113" s="110"/>
      <c r="I113" s="112" t="b">
        <v>0</v>
      </c>
      <c r="J113" s="113" t="b">
        <v>0</v>
      </c>
      <c r="K113" s="48" t="str">
        <f t="shared" si="1"/>
        <v/>
      </c>
      <c r="L113" s="54" t="s">
        <v>36</v>
      </c>
    </row>
    <row r="114">
      <c r="A114" s="29">
        <v>112.0</v>
      </c>
      <c r="B114" s="72" t="s">
        <v>619</v>
      </c>
      <c r="C114" s="33"/>
      <c r="D114" s="35"/>
      <c r="E114" s="36">
        <v>169.0</v>
      </c>
      <c r="F114" s="38">
        <v>200.0</v>
      </c>
      <c r="G114" s="75"/>
      <c r="H114" s="115"/>
      <c r="I114" s="46" t="b">
        <v>0</v>
      </c>
      <c r="J114" s="48" t="b">
        <v>1</v>
      </c>
      <c r="K114" s="48" t="str">
        <f t="shared" si="1"/>
        <v/>
      </c>
      <c r="L114" s="54" t="s">
        <v>36</v>
      </c>
    </row>
    <row r="115">
      <c r="A115" s="29">
        <v>113.0</v>
      </c>
      <c r="B115" s="78" t="s">
        <v>624</v>
      </c>
      <c r="C115" s="51"/>
      <c r="D115" s="47"/>
      <c r="E115" s="90">
        <v>170.0</v>
      </c>
      <c r="F115" s="53">
        <v>200.0</v>
      </c>
      <c r="G115" s="42" t="s">
        <v>626</v>
      </c>
      <c r="H115" s="110"/>
      <c r="I115" s="112" t="b">
        <v>0</v>
      </c>
      <c r="J115" s="60" t="b">
        <v>1</v>
      </c>
      <c r="K115" s="48" t="str">
        <f t="shared" si="1"/>
        <v/>
      </c>
      <c r="L115" s="54" t="s">
        <v>36</v>
      </c>
    </row>
    <row r="116">
      <c r="A116" s="29">
        <v>114.0</v>
      </c>
      <c r="B116" s="72" t="s">
        <v>630</v>
      </c>
      <c r="C116" s="33"/>
      <c r="D116" s="35"/>
      <c r="E116" s="36">
        <v>172.0</v>
      </c>
      <c r="F116" s="38">
        <v>200.0</v>
      </c>
      <c r="G116" s="75"/>
      <c r="H116" s="115"/>
      <c r="I116" s="46" t="b">
        <v>0</v>
      </c>
      <c r="J116" s="48" t="b">
        <v>1</v>
      </c>
      <c r="K116" s="48" t="str">
        <f t="shared" si="1"/>
        <v/>
      </c>
      <c r="L116" s="54" t="s">
        <v>36</v>
      </c>
    </row>
    <row r="117">
      <c r="A117" s="29">
        <v>115.0</v>
      </c>
      <c r="B117" s="72" t="s">
        <v>633</v>
      </c>
      <c r="C117" s="33"/>
      <c r="D117" s="35"/>
      <c r="E117" s="36">
        <v>173.0</v>
      </c>
      <c r="F117" s="38">
        <v>200.0</v>
      </c>
      <c r="G117" s="75"/>
      <c r="H117" s="143"/>
      <c r="I117" s="46" t="b">
        <v>0</v>
      </c>
      <c r="J117" s="48" t="b">
        <v>1</v>
      </c>
      <c r="K117" s="48" t="str">
        <f t="shared" si="1"/>
        <v/>
      </c>
      <c r="L117" s="54" t="s">
        <v>36</v>
      </c>
    </row>
    <row r="118">
      <c r="A118" s="29">
        <v>116.0</v>
      </c>
      <c r="B118" s="72" t="s">
        <v>637</v>
      </c>
      <c r="C118" s="33"/>
      <c r="D118" s="35"/>
      <c r="E118" s="36">
        <v>174.0</v>
      </c>
      <c r="F118" s="38">
        <v>200.0</v>
      </c>
      <c r="G118" s="75"/>
      <c r="H118" s="40"/>
      <c r="I118" s="46" t="b">
        <v>0</v>
      </c>
      <c r="J118" s="48" t="b">
        <v>1</v>
      </c>
      <c r="K118" s="48" t="str">
        <f t="shared" si="1"/>
        <v/>
      </c>
      <c r="L118" s="54" t="s">
        <v>36</v>
      </c>
    </row>
    <row r="119">
      <c r="A119" s="29">
        <v>117.0</v>
      </c>
      <c r="B119" s="78" t="s">
        <v>643</v>
      </c>
      <c r="C119" s="51"/>
      <c r="D119" s="47"/>
      <c r="E119" s="90">
        <v>175.0</v>
      </c>
      <c r="F119" s="53">
        <v>200.0</v>
      </c>
      <c r="G119" s="80"/>
      <c r="H119" s="56"/>
      <c r="I119" s="112" t="b">
        <v>0</v>
      </c>
      <c r="J119" s="60" t="b">
        <v>1</v>
      </c>
      <c r="K119" s="48" t="str">
        <f t="shared" si="1"/>
        <v/>
      </c>
      <c r="L119" s="54" t="s">
        <v>36</v>
      </c>
    </row>
    <row r="120">
      <c r="A120" s="29">
        <v>118.0</v>
      </c>
      <c r="B120" s="72" t="s">
        <v>647</v>
      </c>
      <c r="C120" s="33"/>
      <c r="D120" s="35"/>
      <c r="E120" s="36">
        <v>176.0</v>
      </c>
      <c r="F120" s="38">
        <v>200.0</v>
      </c>
      <c r="G120" s="75"/>
      <c r="H120" s="40"/>
      <c r="I120" s="46" t="b">
        <v>0</v>
      </c>
      <c r="J120" s="48" t="b">
        <v>1</v>
      </c>
      <c r="K120" s="48" t="str">
        <f t="shared" si="1"/>
        <v/>
      </c>
      <c r="L120" s="54" t="s">
        <v>36</v>
      </c>
    </row>
    <row r="121">
      <c r="A121" s="29">
        <v>119.0</v>
      </c>
      <c r="B121" s="31" t="s">
        <v>648</v>
      </c>
      <c r="C121" s="33"/>
      <c r="D121" s="35"/>
      <c r="E121" s="36">
        <v>177.0</v>
      </c>
      <c r="F121" s="38">
        <v>200.0</v>
      </c>
      <c r="G121" s="75"/>
      <c r="H121" s="40"/>
      <c r="I121" s="46" t="b">
        <v>0</v>
      </c>
      <c r="J121" s="48" t="b">
        <v>1</v>
      </c>
      <c r="K121" s="48" t="str">
        <f t="shared" si="1"/>
        <v/>
      </c>
      <c r="L121" s="54" t="s">
        <v>36</v>
      </c>
    </row>
    <row r="122">
      <c r="A122" s="29">
        <v>120.0</v>
      </c>
      <c r="B122" s="42" t="s">
        <v>650</v>
      </c>
      <c r="C122" s="51"/>
      <c r="D122" s="47"/>
      <c r="E122" s="90">
        <v>178.0</v>
      </c>
      <c r="F122" s="53">
        <v>200.0</v>
      </c>
      <c r="G122" s="80"/>
      <c r="H122" s="56"/>
      <c r="I122" s="112" t="b">
        <v>0</v>
      </c>
      <c r="J122" s="60" t="b">
        <v>1</v>
      </c>
      <c r="K122" s="48" t="str">
        <f t="shared" si="1"/>
        <v/>
      </c>
      <c r="L122" s="54" t="s">
        <v>36</v>
      </c>
    </row>
    <row r="123">
      <c r="A123" s="29">
        <v>121.0</v>
      </c>
      <c r="B123" s="31" t="s">
        <v>653</v>
      </c>
      <c r="C123" s="33"/>
      <c r="D123" s="35"/>
      <c r="E123" s="36">
        <v>179.0</v>
      </c>
      <c r="F123" s="38">
        <v>200.0</v>
      </c>
      <c r="G123" s="75"/>
      <c r="H123" s="40"/>
      <c r="I123" s="46" t="b">
        <v>0</v>
      </c>
      <c r="J123" s="48" t="b">
        <v>1</v>
      </c>
      <c r="K123" s="48" t="str">
        <f t="shared" si="1"/>
        <v/>
      </c>
      <c r="L123" s="54" t="s">
        <v>36</v>
      </c>
    </row>
    <row r="124">
      <c r="A124" s="29">
        <v>122.0</v>
      </c>
      <c r="B124" s="31" t="s">
        <v>655</v>
      </c>
      <c r="C124" s="33"/>
      <c r="D124" s="35"/>
      <c r="E124" s="36">
        <v>180.0</v>
      </c>
      <c r="F124" s="38">
        <v>200.0</v>
      </c>
      <c r="G124" s="75"/>
      <c r="H124" s="40"/>
      <c r="I124" s="46" t="b">
        <v>0</v>
      </c>
      <c r="J124" s="48" t="b">
        <v>1</v>
      </c>
      <c r="K124" s="48" t="str">
        <f t="shared" si="1"/>
        <v/>
      </c>
      <c r="L124" s="54" t="s">
        <v>36</v>
      </c>
    </row>
    <row r="125">
      <c r="A125" s="29">
        <v>123.0</v>
      </c>
      <c r="B125" s="31" t="s">
        <v>661</v>
      </c>
      <c r="C125" s="33"/>
      <c r="D125" s="35"/>
      <c r="E125" s="36">
        <v>181.0</v>
      </c>
      <c r="F125" s="38">
        <v>200.0</v>
      </c>
      <c r="G125" s="75"/>
      <c r="H125" s="40"/>
      <c r="I125" s="117" t="b">
        <v>0</v>
      </c>
      <c r="J125" s="48" t="b">
        <v>1</v>
      </c>
      <c r="K125" s="48" t="str">
        <f t="shared" si="1"/>
        <v/>
      </c>
      <c r="L125" s="54" t="s">
        <v>36</v>
      </c>
    </row>
    <row r="126">
      <c r="A126" s="29">
        <v>124.0</v>
      </c>
      <c r="B126" s="31" t="s">
        <v>666</v>
      </c>
      <c r="C126" s="33"/>
      <c r="D126" s="35"/>
      <c r="E126" s="36">
        <v>183.0</v>
      </c>
      <c r="F126" s="38">
        <v>200.0</v>
      </c>
      <c r="G126" s="75"/>
      <c r="H126" s="40"/>
      <c r="I126" s="46" t="b">
        <v>0</v>
      </c>
      <c r="J126" s="48" t="b">
        <v>1</v>
      </c>
      <c r="K126" s="48" t="str">
        <f t="shared" si="1"/>
        <v/>
      </c>
      <c r="L126" s="54" t="s">
        <v>36</v>
      </c>
    </row>
    <row r="127">
      <c r="A127" s="29">
        <v>125.0</v>
      </c>
      <c r="B127" s="31" t="s">
        <v>231</v>
      </c>
      <c r="C127" s="33"/>
      <c r="D127" s="35"/>
      <c r="E127" s="36">
        <v>185.0</v>
      </c>
      <c r="F127" s="38">
        <v>200.0</v>
      </c>
      <c r="G127" s="75"/>
      <c r="H127" s="40"/>
      <c r="I127" s="46" t="b">
        <v>0</v>
      </c>
      <c r="J127" s="48" t="b">
        <v>1</v>
      </c>
      <c r="K127" s="48" t="str">
        <f t="shared" si="1"/>
        <v/>
      </c>
      <c r="L127" s="54" t="s">
        <v>36</v>
      </c>
    </row>
    <row r="128">
      <c r="A128" s="29">
        <v>126.0</v>
      </c>
      <c r="B128" s="42" t="s">
        <v>670</v>
      </c>
      <c r="C128" s="51"/>
      <c r="D128" s="47"/>
      <c r="E128" s="90">
        <v>186.0</v>
      </c>
      <c r="F128" s="53">
        <v>200.0</v>
      </c>
      <c r="G128" s="80"/>
      <c r="H128" s="56"/>
      <c r="I128" s="112" t="b">
        <v>0</v>
      </c>
      <c r="J128" s="113" t="b">
        <v>0</v>
      </c>
      <c r="K128" s="48" t="str">
        <f t="shared" si="1"/>
        <v/>
      </c>
      <c r="L128" s="54" t="s">
        <v>36</v>
      </c>
    </row>
    <row r="129">
      <c r="A129" s="29">
        <v>127.0</v>
      </c>
      <c r="B129" s="31" t="s">
        <v>674</v>
      </c>
      <c r="C129" s="33"/>
      <c r="D129" s="35"/>
      <c r="E129" s="36">
        <v>187.0</v>
      </c>
      <c r="F129" s="38">
        <v>200.0</v>
      </c>
      <c r="G129" s="75"/>
      <c r="H129" s="40"/>
      <c r="I129" s="46" t="b">
        <v>0</v>
      </c>
      <c r="J129" s="48" t="b">
        <v>1</v>
      </c>
      <c r="K129" s="48" t="str">
        <f t="shared" si="1"/>
        <v/>
      </c>
      <c r="L129" s="54" t="s">
        <v>36</v>
      </c>
    </row>
    <row r="130">
      <c r="A130" s="29">
        <v>128.0</v>
      </c>
      <c r="B130" s="31" t="s">
        <v>678</v>
      </c>
      <c r="C130" s="33"/>
      <c r="D130" s="35"/>
      <c r="E130" s="36">
        <v>188.0</v>
      </c>
      <c r="F130" s="38">
        <v>200.0</v>
      </c>
      <c r="G130" s="75"/>
      <c r="H130" s="40"/>
      <c r="I130" s="46" t="b">
        <v>0</v>
      </c>
      <c r="J130" s="48" t="b">
        <v>1</v>
      </c>
      <c r="K130" s="48" t="str">
        <f t="shared" si="1"/>
        <v/>
      </c>
      <c r="L130" s="54" t="s">
        <v>36</v>
      </c>
    </row>
    <row r="131">
      <c r="A131" s="29">
        <v>129.0</v>
      </c>
      <c r="B131" s="31" t="s">
        <v>679</v>
      </c>
      <c r="C131" s="33"/>
      <c r="D131" s="35"/>
      <c r="E131" s="36">
        <v>189.0</v>
      </c>
      <c r="F131" s="38">
        <v>200.0</v>
      </c>
      <c r="G131" s="75"/>
      <c r="H131" s="40"/>
      <c r="I131" s="46" t="b">
        <v>0</v>
      </c>
      <c r="J131" s="48" t="b">
        <v>1</v>
      </c>
      <c r="K131" s="48" t="str">
        <f t="shared" si="1"/>
        <v/>
      </c>
      <c r="L131" s="54" t="s">
        <v>36</v>
      </c>
    </row>
    <row r="132">
      <c r="A132" s="29">
        <v>130.0</v>
      </c>
      <c r="B132" s="42" t="s">
        <v>683</v>
      </c>
      <c r="C132" s="51"/>
      <c r="D132" s="47"/>
      <c r="E132" s="90">
        <v>190.0</v>
      </c>
      <c r="F132" s="53">
        <v>200.0</v>
      </c>
      <c r="G132" s="80"/>
      <c r="H132" s="56"/>
      <c r="I132" s="112" t="b">
        <v>0</v>
      </c>
      <c r="J132" s="60" t="b">
        <v>1</v>
      </c>
      <c r="K132" s="48" t="str">
        <f t="shared" si="1"/>
        <v/>
      </c>
      <c r="L132" s="54" t="s">
        <v>36</v>
      </c>
    </row>
    <row r="133">
      <c r="A133" s="29">
        <v>131.0</v>
      </c>
      <c r="B133" s="31" t="s">
        <v>684</v>
      </c>
      <c r="C133" s="33"/>
      <c r="D133" s="35"/>
      <c r="E133" s="36">
        <v>191.0</v>
      </c>
      <c r="F133" s="38">
        <v>200.0</v>
      </c>
      <c r="G133" s="75"/>
      <c r="H133" s="40"/>
      <c r="I133" s="117" t="b">
        <v>0</v>
      </c>
      <c r="J133" s="48" t="b">
        <v>1</v>
      </c>
      <c r="K133" s="48" t="str">
        <f t="shared" si="1"/>
        <v/>
      </c>
      <c r="L133" s="54" t="s">
        <v>36</v>
      </c>
    </row>
    <row r="134">
      <c r="A134" s="29">
        <v>132.0</v>
      </c>
      <c r="B134" s="31" t="s">
        <v>688</v>
      </c>
      <c r="C134" s="33"/>
      <c r="D134" s="35"/>
      <c r="E134" s="36">
        <v>192.0</v>
      </c>
      <c r="F134" s="38">
        <v>200.0</v>
      </c>
      <c r="G134" s="75"/>
      <c r="H134" s="40"/>
      <c r="I134" s="46" t="b">
        <v>0</v>
      </c>
      <c r="J134" s="48" t="b">
        <v>1</v>
      </c>
      <c r="K134" s="48" t="str">
        <f t="shared" si="1"/>
        <v/>
      </c>
      <c r="L134" s="54" t="s">
        <v>36</v>
      </c>
    </row>
    <row r="135">
      <c r="A135" s="29">
        <v>133.0</v>
      </c>
      <c r="B135" s="31" t="s">
        <v>692</v>
      </c>
      <c r="C135" s="33"/>
      <c r="D135" s="35"/>
      <c r="E135" s="36">
        <v>193.0</v>
      </c>
      <c r="F135" s="38">
        <v>200.0</v>
      </c>
      <c r="G135" s="75"/>
      <c r="H135" s="40"/>
      <c r="I135" s="46" t="b">
        <v>0</v>
      </c>
      <c r="J135" s="48" t="b">
        <v>1</v>
      </c>
      <c r="K135" s="48" t="str">
        <f t="shared" si="1"/>
        <v/>
      </c>
      <c r="L135" s="54" t="s">
        <v>36</v>
      </c>
    </row>
    <row r="136">
      <c r="A136" s="29">
        <v>134.0</v>
      </c>
      <c r="B136" s="31" t="s">
        <v>693</v>
      </c>
      <c r="C136" s="33"/>
      <c r="D136" s="35"/>
      <c r="E136" s="36">
        <v>194.0</v>
      </c>
      <c r="F136" s="38">
        <v>200.0</v>
      </c>
      <c r="G136" s="75"/>
      <c r="H136" s="40"/>
      <c r="I136" s="46" t="b">
        <v>0</v>
      </c>
      <c r="J136" s="48" t="b">
        <v>1</v>
      </c>
      <c r="K136" s="48" t="str">
        <f t="shared" si="1"/>
        <v/>
      </c>
      <c r="L136" s="54" t="s">
        <v>36</v>
      </c>
    </row>
    <row r="137">
      <c r="A137" s="29">
        <v>135.0</v>
      </c>
      <c r="B137" s="31" t="s">
        <v>700</v>
      </c>
      <c r="C137" s="33"/>
      <c r="D137" s="35"/>
      <c r="E137" s="36">
        <v>195.0</v>
      </c>
      <c r="F137" s="38">
        <v>400.0</v>
      </c>
      <c r="G137" s="75"/>
      <c r="H137" s="40"/>
      <c r="I137" s="46" t="b">
        <v>0</v>
      </c>
      <c r="J137" s="48" t="b">
        <v>1</v>
      </c>
      <c r="K137" s="48" t="str">
        <f t="shared" si="1"/>
        <v/>
      </c>
      <c r="L137" s="54" t="s">
        <v>36</v>
      </c>
    </row>
    <row r="138">
      <c r="A138" s="29">
        <v>136.0</v>
      </c>
      <c r="B138" s="31" t="s">
        <v>704</v>
      </c>
      <c r="C138" s="33"/>
      <c r="D138" s="35"/>
      <c r="E138" s="36">
        <v>196.0</v>
      </c>
      <c r="F138" s="38">
        <v>200.0</v>
      </c>
      <c r="G138" s="75"/>
      <c r="H138" s="40"/>
      <c r="I138" s="46" t="b">
        <v>0</v>
      </c>
      <c r="J138" s="48" t="b">
        <v>1</v>
      </c>
      <c r="K138" s="48" t="str">
        <f t="shared" si="1"/>
        <v/>
      </c>
      <c r="L138" s="54" t="s">
        <v>36</v>
      </c>
    </row>
    <row r="139">
      <c r="A139" s="29">
        <v>137.0</v>
      </c>
      <c r="B139" s="31" t="s">
        <v>709</v>
      </c>
      <c r="C139" s="33"/>
      <c r="D139" s="35"/>
      <c r="E139" s="36">
        <v>197.0</v>
      </c>
      <c r="F139" s="38">
        <v>200.0</v>
      </c>
      <c r="G139" s="75"/>
      <c r="H139" s="40"/>
      <c r="I139" s="46" t="b">
        <v>1</v>
      </c>
      <c r="J139" s="48" t="b">
        <v>1</v>
      </c>
      <c r="K139" s="48" t="str">
        <f t="shared" si="1"/>
        <v/>
      </c>
      <c r="L139" s="54" t="s">
        <v>36</v>
      </c>
    </row>
    <row r="140">
      <c r="A140" s="29">
        <v>138.0</v>
      </c>
      <c r="B140" s="31" t="s">
        <v>713</v>
      </c>
      <c r="C140" s="33"/>
      <c r="D140" s="35"/>
      <c r="E140" s="36">
        <v>198.0</v>
      </c>
      <c r="F140" s="38">
        <v>200.0</v>
      </c>
      <c r="G140" s="75"/>
      <c r="H140" s="40"/>
      <c r="I140" s="46" t="b">
        <v>1</v>
      </c>
      <c r="J140" s="48" t="b">
        <v>1</v>
      </c>
      <c r="K140" s="48" t="str">
        <f t="shared" si="1"/>
        <v/>
      </c>
      <c r="L140" s="54" t="s">
        <v>36</v>
      </c>
    </row>
    <row r="141">
      <c r="A141" s="29">
        <v>139.0</v>
      </c>
      <c r="B141" s="42" t="s">
        <v>716</v>
      </c>
      <c r="C141" s="51"/>
      <c r="D141" s="47"/>
      <c r="E141" s="90">
        <v>199.0</v>
      </c>
      <c r="F141" s="53">
        <v>200.0</v>
      </c>
      <c r="G141" s="80"/>
      <c r="H141" s="56"/>
      <c r="I141" s="58" t="b">
        <v>1</v>
      </c>
      <c r="J141" s="60" t="b">
        <v>1</v>
      </c>
      <c r="K141" s="48" t="str">
        <f t="shared" si="1"/>
        <v/>
      </c>
      <c r="L141" s="54" t="s">
        <v>36</v>
      </c>
    </row>
    <row r="142">
      <c r="A142" s="29">
        <v>140.0</v>
      </c>
      <c r="B142" s="42" t="s">
        <v>719</v>
      </c>
      <c r="C142" s="51"/>
      <c r="D142" s="47"/>
      <c r="E142" s="90">
        <v>200.0</v>
      </c>
      <c r="F142" s="53">
        <v>200.0</v>
      </c>
      <c r="G142" s="80"/>
      <c r="H142" s="56"/>
      <c r="I142" s="58" t="b">
        <v>1</v>
      </c>
      <c r="J142" s="60" t="b">
        <v>1</v>
      </c>
      <c r="K142" s="48" t="str">
        <f t="shared" si="1"/>
        <v/>
      </c>
      <c r="L142" s="54" t="s">
        <v>36</v>
      </c>
    </row>
    <row r="143">
      <c r="A143" s="29">
        <v>141.0</v>
      </c>
      <c r="B143" s="42" t="s">
        <v>721</v>
      </c>
      <c r="C143" s="51"/>
      <c r="D143" s="47"/>
      <c r="E143" s="90">
        <v>201.0</v>
      </c>
      <c r="F143" s="53">
        <v>200.0</v>
      </c>
      <c r="G143" s="80"/>
      <c r="H143" s="56"/>
      <c r="I143" s="58" t="b">
        <v>1</v>
      </c>
      <c r="J143" s="60" t="b">
        <v>1</v>
      </c>
      <c r="K143" s="48" t="str">
        <f t="shared" si="1"/>
        <v/>
      </c>
      <c r="L143" s="54" t="s">
        <v>36</v>
      </c>
    </row>
    <row r="144">
      <c r="A144" s="29">
        <v>142.0</v>
      </c>
      <c r="B144" s="147" t="s">
        <v>724</v>
      </c>
      <c r="C144" s="33"/>
      <c r="D144" s="35"/>
      <c r="E144" s="36">
        <v>202.0</v>
      </c>
      <c r="F144" s="38">
        <v>200.0</v>
      </c>
      <c r="G144" s="75"/>
      <c r="H144" s="40"/>
      <c r="I144" s="46" t="b">
        <v>1</v>
      </c>
      <c r="J144" s="48" t="b">
        <v>1</v>
      </c>
      <c r="K144" s="48" t="str">
        <f t="shared" si="1"/>
        <v/>
      </c>
      <c r="L144" s="54" t="s">
        <v>36</v>
      </c>
    </row>
    <row r="145">
      <c r="A145" s="29">
        <v>143.0</v>
      </c>
      <c r="B145" s="42" t="s">
        <v>728</v>
      </c>
      <c r="C145" s="51"/>
      <c r="D145" s="47"/>
      <c r="E145" s="90">
        <v>203.0</v>
      </c>
      <c r="F145" s="53">
        <v>200.0</v>
      </c>
      <c r="G145" s="80"/>
      <c r="H145" s="56"/>
      <c r="I145" s="58" t="b">
        <v>1</v>
      </c>
      <c r="J145" s="60" t="b">
        <v>1</v>
      </c>
      <c r="K145" s="48" t="str">
        <f t="shared" si="1"/>
        <v/>
      </c>
      <c r="L145" s="54" t="s">
        <v>36</v>
      </c>
    </row>
    <row r="146">
      <c r="A146" s="29">
        <v>144.0</v>
      </c>
      <c r="B146" s="42" t="s">
        <v>729</v>
      </c>
      <c r="C146" s="51"/>
      <c r="D146" s="47"/>
      <c r="E146" s="90">
        <v>205.0</v>
      </c>
      <c r="F146" s="53">
        <v>200.0</v>
      </c>
      <c r="G146" s="80"/>
      <c r="H146" s="56"/>
      <c r="I146" s="58" t="b">
        <v>1</v>
      </c>
      <c r="J146" s="60" t="b">
        <v>1</v>
      </c>
      <c r="K146" s="48" t="str">
        <f t="shared" si="1"/>
        <v/>
      </c>
      <c r="L146" s="54" t="s">
        <v>36</v>
      </c>
    </row>
    <row r="147">
      <c r="A147" s="29">
        <v>145.0</v>
      </c>
      <c r="B147" s="31" t="s">
        <v>733</v>
      </c>
      <c r="C147" s="33"/>
      <c r="D147" s="35"/>
      <c r="E147" s="36">
        <v>206.0</v>
      </c>
      <c r="F147" s="38">
        <v>200.0</v>
      </c>
      <c r="G147" s="75"/>
      <c r="H147" s="40"/>
      <c r="I147" s="46" t="b">
        <v>1</v>
      </c>
      <c r="J147" s="148" t="b">
        <v>1</v>
      </c>
      <c r="K147" s="48" t="str">
        <f t="shared" si="1"/>
        <v/>
      </c>
      <c r="L147" s="54" t="s">
        <v>36</v>
      </c>
    </row>
    <row r="148">
      <c r="A148" s="29">
        <v>146.0</v>
      </c>
      <c r="B148" s="42" t="s">
        <v>739</v>
      </c>
      <c r="C148" s="51"/>
      <c r="D148" s="47"/>
      <c r="E148" s="90">
        <v>208.0</v>
      </c>
      <c r="F148" s="53">
        <v>200.0</v>
      </c>
      <c r="G148" s="80"/>
      <c r="H148" s="56"/>
      <c r="I148" s="58" t="b">
        <v>1</v>
      </c>
      <c r="J148" s="113" t="b">
        <v>0</v>
      </c>
      <c r="K148" s="48" t="str">
        <f t="shared" si="1"/>
        <v/>
      </c>
      <c r="L148" s="54" t="s">
        <v>36</v>
      </c>
    </row>
    <row r="149">
      <c r="A149" s="29">
        <v>147.0</v>
      </c>
      <c r="B149" s="31" t="s">
        <v>744</v>
      </c>
      <c r="C149" s="33"/>
      <c r="D149" s="35"/>
      <c r="E149" s="36">
        <v>209.0</v>
      </c>
      <c r="F149" s="38">
        <v>200.0</v>
      </c>
      <c r="G149" s="75"/>
      <c r="H149" s="40"/>
      <c r="I149" s="46" t="b">
        <v>1</v>
      </c>
      <c r="J149" s="48" t="b">
        <v>1</v>
      </c>
      <c r="K149" s="48" t="str">
        <f t="shared" si="1"/>
        <v/>
      </c>
      <c r="L149" s="54" t="s">
        <v>36</v>
      </c>
    </row>
    <row r="150">
      <c r="A150" s="29">
        <v>148.0</v>
      </c>
      <c r="B150" s="31" t="s">
        <v>752</v>
      </c>
      <c r="C150" s="33"/>
      <c r="D150" s="35"/>
      <c r="E150" s="36">
        <v>210.0</v>
      </c>
      <c r="F150" s="38">
        <v>200.0</v>
      </c>
      <c r="G150" s="75"/>
      <c r="H150" s="40"/>
      <c r="I150" s="46" t="b">
        <v>1</v>
      </c>
      <c r="J150" s="48" t="b">
        <v>1</v>
      </c>
      <c r="K150" s="48" t="str">
        <f t="shared" si="1"/>
        <v/>
      </c>
      <c r="L150" s="54" t="s">
        <v>36</v>
      </c>
    </row>
    <row r="151">
      <c r="A151" s="29">
        <v>149.0</v>
      </c>
      <c r="B151" s="42" t="s">
        <v>756</v>
      </c>
      <c r="C151" s="51"/>
      <c r="D151" s="47"/>
      <c r="E151" s="90">
        <v>211.0</v>
      </c>
      <c r="F151" s="53">
        <v>200.0</v>
      </c>
      <c r="G151" s="80"/>
      <c r="H151" s="56"/>
      <c r="I151" s="58" t="b">
        <v>1</v>
      </c>
      <c r="J151" s="113" t="b">
        <v>0</v>
      </c>
      <c r="K151" s="48" t="str">
        <f t="shared" si="1"/>
        <v/>
      </c>
      <c r="L151" s="54" t="s">
        <v>36</v>
      </c>
    </row>
    <row r="152">
      <c r="A152" s="29">
        <v>150.0</v>
      </c>
      <c r="B152" s="31" t="s">
        <v>765</v>
      </c>
      <c r="C152" s="33"/>
      <c r="D152" s="35"/>
      <c r="E152" s="36">
        <v>212.0</v>
      </c>
      <c r="F152" s="38">
        <v>200.0</v>
      </c>
      <c r="G152" s="75"/>
      <c r="H152" s="40"/>
      <c r="I152" s="46" t="b">
        <v>1</v>
      </c>
      <c r="J152" s="48" t="b">
        <v>1</v>
      </c>
      <c r="K152" s="48" t="str">
        <f t="shared" si="1"/>
        <v/>
      </c>
      <c r="L152" s="54" t="s">
        <v>36</v>
      </c>
    </row>
    <row r="153">
      <c r="A153" s="29">
        <v>151.0</v>
      </c>
      <c r="B153" s="31" t="s">
        <v>774</v>
      </c>
      <c r="C153" s="33"/>
      <c r="D153" s="35"/>
      <c r="E153" s="36">
        <v>214.0</v>
      </c>
      <c r="F153" s="38">
        <v>200.0</v>
      </c>
      <c r="G153" s="75"/>
      <c r="H153" s="40"/>
      <c r="I153" s="46" t="b">
        <v>1</v>
      </c>
      <c r="J153" s="48" t="b">
        <v>1</v>
      </c>
      <c r="K153" s="48" t="str">
        <f t="shared" si="1"/>
        <v/>
      </c>
      <c r="L153" s="54" t="s">
        <v>36</v>
      </c>
    </row>
    <row r="154">
      <c r="A154" s="29">
        <v>152.0</v>
      </c>
      <c r="B154" s="31" t="s">
        <v>775</v>
      </c>
      <c r="C154" s="33"/>
      <c r="D154" s="35"/>
      <c r="E154" s="36">
        <v>215.0</v>
      </c>
      <c r="F154" s="38">
        <v>200.0</v>
      </c>
      <c r="G154" s="75"/>
      <c r="H154" s="40"/>
      <c r="I154" s="46" t="b">
        <v>1</v>
      </c>
      <c r="J154" s="48" t="b">
        <v>1</v>
      </c>
      <c r="K154" s="48" t="str">
        <f t="shared" si="1"/>
        <v/>
      </c>
      <c r="L154" s="54" t="s">
        <v>36</v>
      </c>
    </row>
    <row r="155">
      <c r="A155" s="29">
        <v>153.0</v>
      </c>
      <c r="B155" s="31" t="s">
        <v>779</v>
      </c>
      <c r="C155" s="33"/>
      <c r="D155" s="35"/>
      <c r="E155" s="36">
        <v>217.0</v>
      </c>
      <c r="F155" s="38">
        <v>200.0</v>
      </c>
      <c r="G155" s="75"/>
      <c r="H155" s="40"/>
      <c r="I155" s="46" t="b">
        <v>1</v>
      </c>
      <c r="J155" s="48" t="b">
        <v>1</v>
      </c>
      <c r="K155" s="48" t="str">
        <f t="shared" si="1"/>
        <v/>
      </c>
      <c r="L155" s="54" t="s">
        <v>36</v>
      </c>
    </row>
    <row r="156">
      <c r="A156" s="29">
        <v>154.0</v>
      </c>
      <c r="B156" s="31" t="s">
        <v>783</v>
      </c>
      <c r="C156" s="33"/>
      <c r="D156" s="35"/>
      <c r="E156" s="36">
        <v>218.0</v>
      </c>
      <c r="F156" s="38">
        <v>200.0</v>
      </c>
      <c r="G156" s="75"/>
      <c r="H156" s="40"/>
      <c r="I156" s="46" t="b">
        <v>1</v>
      </c>
      <c r="J156" s="48" t="b">
        <v>1</v>
      </c>
      <c r="K156" s="48" t="str">
        <f t="shared" si="1"/>
        <v/>
      </c>
      <c r="L156" s="54" t="s">
        <v>36</v>
      </c>
    </row>
    <row r="157">
      <c r="A157" s="29">
        <v>155.0</v>
      </c>
      <c r="B157" s="42" t="s">
        <v>787</v>
      </c>
      <c r="C157" s="51"/>
      <c r="D157" s="47"/>
      <c r="E157" s="90">
        <v>219.0</v>
      </c>
      <c r="F157" s="53">
        <v>200.0</v>
      </c>
      <c r="G157" s="80"/>
      <c r="H157" s="56"/>
      <c r="I157" s="58" t="b">
        <v>1</v>
      </c>
      <c r="J157" s="113" t="b">
        <v>0</v>
      </c>
      <c r="K157" s="48" t="str">
        <f t="shared" si="1"/>
        <v/>
      </c>
      <c r="L157" s="54" t="s">
        <v>36</v>
      </c>
    </row>
    <row r="158">
      <c r="A158" s="29">
        <v>156.0</v>
      </c>
      <c r="B158" s="31" t="s">
        <v>788</v>
      </c>
      <c r="C158" s="152" t="s">
        <v>789</v>
      </c>
      <c r="D158" s="35"/>
      <c r="E158" s="36">
        <v>220.0</v>
      </c>
      <c r="F158" s="38">
        <v>200.0</v>
      </c>
      <c r="G158" s="75"/>
      <c r="H158" s="40"/>
      <c r="I158" s="46" t="b">
        <v>1</v>
      </c>
      <c r="J158" s="48" t="b">
        <v>1</v>
      </c>
      <c r="K158" s="48" t="str">
        <f t="shared" si="1"/>
        <v/>
      </c>
      <c r="L158" s="54" t="s">
        <v>36</v>
      </c>
    </row>
    <row r="159">
      <c r="A159" s="29">
        <v>157.0</v>
      </c>
      <c r="B159" s="153" t="s">
        <v>792</v>
      </c>
      <c r="C159" s="154">
        <v>6.52774296E8</v>
      </c>
      <c r="D159" s="35"/>
      <c r="E159" s="36">
        <v>221.0</v>
      </c>
      <c r="F159" s="38">
        <v>200.0</v>
      </c>
      <c r="G159" s="31" t="s">
        <v>794</v>
      </c>
      <c r="H159" s="40"/>
      <c r="I159" s="46" t="b">
        <v>1</v>
      </c>
      <c r="J159" s="48" t="b">
        <v>1</v>
      </c>
      <c r="K159" s="48" t="str">
        <f t="shared" si="1"/>
        <v/>
      </c>
      <c r="L159" s="54" t="s">
        <v>36</v>
      </c>
    </row>
    <row r="160">
      <c r="A160" s="29">
        <v>158.0</v>
      </c>
      <c r="B160" s="153" t="s">
        <v>796</v>
      </c>
      <c r="C160" s="154">
        <v>6.90162143E8</v>
      </c>
      <c r="D160" s="35"/>
      <c r="E160" s="36">
        <v>222.0</v>
      </c>
      <c r="F160" s="38">
        <v>200.0</v>
      </c>
      <c r="G160" s="75"/>
      <c r="H160" s="40"/>
      <c r="I160" s="46" t="b">
        <v>1</v>
      </c>
      <c r="J160" s="48" t="b">
        <v>1</v>
      </c>
      <c r="K160" s="48" t="str">
        <f t="shared" si="1"/>
        <v/>
      </c>
      <c r="L160" s="54" t="s">
        <v>36</v>
      </c>
    </row>
    <row r="161">
      <c r="A161" s="29">
        <v>159.0</v>
      </c>
      <c r="B161" s="42" t="s">
        <v>800</v>
      </c>
      <c r="C161" s="51"/>
      <c r="D161" s="47"/>
      <c r="E161" s="90">
        <v>223.0</v>
      </c>
      <c r="F161" s="53">
        <v>200.0</v>
      </c>
      <c r="G161" s="80"/>
      <c r="H161" s="56"/>
      <c r="I161" s="58" t="b">
        <v>1</v>
      </c>
      <c r="J161" s="113" t="b">
        <v>0</v>
      </c>
      <c r="K161" s="48" t="str">
        <f t="shared" si="1"/>
        <v/>
      </c>
      <c r="L161" s="54" t="s">
        <v>36</v>
      </c>
    </row>
    <row r="162">
      <c r="A162" s="29">
        <v>160.0</v>
      </c>
      <c r="B162" s="31" t="s">
        <v>802</v>
      </c>
      <c r="C162" s="33"/>
      <c r="D162" s="35"/>
      <c r="E162" s="36">
        <v>225.0</v>
      </c>
      <c r="F162" s="38">
        <v>200.0</v>
      </c>
      <c r="G162" s="75"/>
      <c r="H162" s="40"/>
      <c r="I162" s="46" t="b">
        <v>1</v>
      </c>
      <c r="J162" s="48" t="b">
        <v>1</v>
      </c>
      <c r="K162" s="48" t="str">
        <f t="shared" si="1"/>
        <v/>
      </c>
      <c r="L162" s="54" t="s">
        <v>36</v>
      </c>
    </row>
    <row r="163">
      <c r="A163" s="29">
        <v>161.0</v>
      </c>
      <c r="B163" s="31" t="s">
        <v>804</v>
      </c>
      <c r="C163" s="33"/>
      <c r="D163" s="35"/>
      <c r="E163" s="36">
        <v>226.0</v>
      </c>
      <c r="F163" s="38">
        <v>200.0</v>
      </c>
      <c r="G163" s="75"/>
      <c r="H163" s="40"/>
      <c r="I163" s="46" t="b">
        <v>1</v>
      </c>
      <c r="J163" s="48" t="b">
        <v>1</v>
      </c>
      <c r="K163" s="48" t="str">
        <f t="shared" si="1"/>
        <v/>
      </c>
      <c r="L163" s="54" t="s">
        <v>36</v>
      </c>
    </row>
    <row r="164">
      <c r="A164" s="29">
        <v>162.0</v>
      </c>
      <c r="B164" s="31" t="s">
        <v>806</v>
      </c>
      <c r="C164" s="33"/>
      <c r="D164" s="35"/>
      <c r="E164" s="36">
        <v>227.0</v>
      </c>
      <c r="F164" s="38">
        <v>200.0</v>
      </c>
      <c r="G164" s="75"/>
      <c r="H164" s="40"/>
      <c r="I164" s="46" t="b">
        <v>1</v>
      </c>
      <c r="J164" s="48" t="b">
        <v>1</v>
      </c>
      <c r="K164" s="48" t="str">
        <f t="shared" si="1"/>
        <v/>
      </c>
      <c r="L164" s="54" t="s">
        <v>36</v>
      </c>
    </row>
    <row r="165">
      <c r="A165" s="29">
        <v>163.0</v>
      </c>
      <c r="B165" s="31" t="s">
        <v>808</v>
      </c>
      <c r="C165" s="33"/>
      <c r="D165" s="35"/>
      <c r="E165" s="36">
        <v>229.0</v>
      </c>
      <c r="F165" s="38">
        <v>200.0</v>
      </c>
      <c r="G165" s="75"/>
      <c r="H165" s="40"/>
      <c r="I165" s="46" t="b">
        <v>1</v>
      </c>
      <c r="J165" s="48" t="b">
        <v>1</v>
      </c>
      <c r="K165" s="48" t="str">
        <f t="shared" si="1"/>
        <v/>
      </c>
      <c r="L165" s="54" t="s">
        <v>36</v>
      </c>
    </row>
    <row r="166">
      <c r="A166" s="29">
        <v>164.0</v>
      </c>
      <c r="B166" s="42" t="s">
        <v>25</v>
      </c>
      <c r="C166" s="51"/>
      <c r="D166" s="47"/>
      <c r="E166" s="90">
        <v>230.0</v>
      </c>
      <c r="F166" s="53">
        <v>200.0</v>
      </c>
      <c r="G166" s="80"/>
      <c r="H166" s="56"/>
      <c r="I166" s="58" t="b">
        <v>1</v>
      </c>
      <c r="J166" s="113" t="b">
        <v>0</v>
      </c>
      <c r="K166" s="48" t="str">
        <f t="shared" si="1"/>
        <v/>
      </c>
      <c r="L166" s="54" t="s">
        <v>36</v>
      </c>
    </row>
    <row r="167">
      <c r="A167" s="29">
        <v>165.0</v>
      </c>
      <c r="B167" s="42" t="s">
        <v>721</v>
      </c>
      <c r="C167" s="51"/>
      <c r="D167" s="47"/>
      <c r="E167" s="90">
        <v>232.0</v>
      </c>
      <c r="F167" s="53">
        <v>200.0</v>
      </c>
      <c r="G167" s="80"/>
      <c r="H167" s="56"/>
      <c r="I167" s="58" t="b">
        <v>1</v>
      </c>
      <c r="J167" s="60" t="b">
        <v>1</v>
      </c>
      <c r="K167" s="48" t="str">
        <f t="shared" si="1"/>
        <v/>
      </c>
      <c r="L167" s="54" t="s">
        <v>36</v>
      </c>
    </row>
    <row r="168">
      <c r="A168" s="29">
        <v>166.0</v>
      </c>
      <c r="B168" s="42" t="s">
        <v>813</v>
      </c>
      <c r="C168" s="51"/>
      <c r="D168" s="156"/>
      <c r="E168" s="90">
        <v>10062.0</v>
      </c>
      <c r="F168" s="53">
        <v>225.0</v>
      </c>
      <c r="G168" s="80"/>
      <c r="H168" s="157">
        <v>45482.0</v>
      </c>
      <c r="I168" s="58" t="b">
        <v>1</v>
      </c>
      <c r="J168" s="60" t="b">
        <v>1</v>
      </c>
      <c r="K168" s="159">
        <f t="shared" si="1"/>
        <v>45666</v>
      </c>
      <c r="L168" s="54" t="s">
        <v>36</v>
      </c>
    </row>
    <row r="169">
      <c r="A169" s="29">
        <v>167.0</v>
      </c>
      <c r="B169" s="42" t="s">
        <v>820</v>
      </c>
      <c r="C169" s="91"/>
      <c r="D169" s="47"/>
      <c r="E169" s="90">
        <v>233.0</v>
      </c>
      <c r="F169" s="53">
        <v>220.0</v>
      </c>
      <c r="G169" s="80"/>
      <c r="H169" s="160">
        <v>45182.0</v>
      </c>
      <c r="I169" s="58" t="b">
        <v>1</v>
      </c>
      <c r="J169" s="60" t="b">
        <v>1</v>
      </c>
      <c r="K169" s="159">
        <f t="shared" si="1"/>
        <v>45364</v>
      </c>
      <c r="L169" s="54" t="s">
        <v>36</v>
      </c>
    </row>
    <row r="170">
      <c r="A170" s="29">
        <v>168.0</v>
      </c>
      <c r="B170" s="31" t="s">
        <v>824</v>
      </c>
      <c r="C170" s="161"/>
      <c r="D170" s="35"/>
      <c r="E170" s="36">
        <v>234.0</v>
      </c>
      <c r="F170" s="38">
        <v>220.0</v>
      </c>
      <c r="G170" s="75"/>
      <c r="H170" s="163">
        <v>45183.0</v>
      </c>
      <c r="I170" s="46" t="b">
        <v>1</v>
      </c>
      <c r="J170" s="48" t="b">
        <v>1</v>
      </c>
      <c r="K170" s="159">
        <f t="shared" si="1"/>
        <v>45365</v>
      </c>
      <c r="L170" s="54" t="s">
        <v>36</v>
      </c>
    </row>
    <row r="171">
      <c r="A171" s="29">
        <v>169.0</v>
      </c>
      <c r="B171" s="31" t="s">
        <v>832</v>
      </c>
      <c r="C171" s="161"/>
      <c r="D171" s="35"/>
      <c r="E171" s="36">
        <v>235.0</v>
      </c>
      <c r="F171" s="38">
        <v>220.0</v>
      </c>
      <c r="G171" s="75"/>
      <c r="H171" s="163">
        <v>45183.0</v>
      </c>
      <c r="I171" s="46" t="b">
        <v>1</v>
      </c>
      <c r="J171" s="48" t="b">
        <v>1</v>
      </c>
      <c r="K171" s="159">
        <f t="shared" si="1"/>
        <v>45365</v>
      </c>
      <c r="L171" s="54" t="s">
        <v>36</v>
      </c>
    </row>
    <row r="172">
      <c r="A172" s="29">
        <v>170.0</v>
      </c>
      <c r="B172" s="31" t="s">
        <v>802</v>
      </c>
      <c r="C172" s="161"/>
      <c r="D172" s="35"/>
      <c r="E172" s="36">
        <v>236.0</v>
      </c>
      <c r="F172" s="38">
        <v>220.0</v>
      </c>
      <c r="G172" s="75"/>
      <c r="H172" s="163">
        <v>45183.0</v>
      </c>
      <c r="I172" s="46" t="b">
        <v>1</v>
      </c>
      <c r="J172" s="48" t="b">
        <v>1</v>
      </c>
      <c r="K172" s="159">
        <f t="shared" si="1"/>
        <v>45365</v>
      </c>
      <c r="L172" s="54" t="s">
        <v>36</v>
      </c>
    </row>
    <row r="173">
      <c r="A173" s="29">
        <v>171.0</v>
      </c>
      <c r="B173" s="42" t="s">
        <v>683</v>
      </c>
      <c r="C173" s="164"/>
      <c r="D173" s="47"/>
      <c r="E173" s="90">
        <v>237.0</v>
      </c>
      <c r="F173" s="53">
        <v>220.0</v>
      </c>
      <c r="G173" s="80"/>
      <c r="H173" s="55">
        <v>45190.0</v>
      </c>
      <c r="I173" s="58" t="b">
        <v>1</v>
      </c>
      <c r="J173" s="60" t="b">
        <v>1</v>
      </c>
      <c r="K173" s="159">
        <f t="shared" si="1"/>
        <v>45372</v>
      </c>
      <c r="L173" s="54" t="s">
        <v>36</v>
      </c>
    </row>
    <row r="174">
      <c r="A174" s="29">
        <v>172.0</v>
      </c>
      <c r="B174" s="31" t="s">
        <v>839</v>
      </c>
      <c r="C174" s="161"/>
      <c r="D174" s="35"/>
      <c r="E174" s="36">
        <v>238.0</v>
      </c>
      <c r="F174" s="38">
        <v>220.0</v>
      </c>
      <c r="G174" s="75"/>
      <c r="H174" s="163">
        <v>45202.0</v>
      </c>
      <c r="I174" s="46" t="b">
        <v>1</v>
      </c>
      <c r="J174" s="48" t="b">
        <v>1</v>
      </c>
      <c r="K174" s="159">
        <f t="shared" si="1"/>
        <v>45385</v>
      </c>
      <c r="L174" s="54" t="s">
        <v>36</v>
      </c>
    </row>
    <row r="175">
      <c r="A175" s="29">
        <v>173.0</v>
      </c>
      <c r="B175" s="42" t="s">
        <v>840</v>
      </c>
      <c r="C175" s="91"/>
      <c r="D175" s="47"/>
      <c r="E175" s="90">
        <v>239.0</v>
      </c>
      <c r="F175" s="53">
        <v>220.0</v>
      </c>
      <c r="G175" s="80"/>
      <c r="H175" s="160">
        <v>45203.0</v>
      </c>
      <c r="I175" s="58" t="b">
        <v>1</v>
      </c>
      <c r="J175" s="60" t="b">
        <v>1</v>
      </c>
      <c r="K175" s="159">
        <f t="shared" si="1"/>
        <v>45386</v>
      </c>
      <c r="L175" s="54" t="s">
        <v>36</v>
      </c>
    </row>
    <row r="176">
      <c r="A176" s="29">
        <v>174.0</v>
      </c>
      <c r="B176" s="42" t="s">
        <v>843</v>
      </c>
      <c r="C176" s="91"/>
      <c r="D176" s="47"/>
      <c r="E176" s="90">
        <v>240.0</v>
      </c>
      <c r="F176" s="53">
        <v>220.0</v>
      </c>
      <c r="G176" s="80"/>
      <c r="H176" s="160">
        <v>45206.0</v>
      </c>
      <c r="I176" s="58" t="b">
        <v>1</v>
      </c>
      <c r="J176" s="60" t="b">
        <v>1</v>
      </c>
      <c r="K176" s="159">
        <f t="shared" si="1"/>
        <v>45389</v>
      </c>
      <c r="L176" s="54" t="s">
        <v>36</v>
      </c>
    </row>
    <row r="177">
      <c r="A177" s="29">
        <v>175.0</v>
      </c>
      <c r="B177" s="31" t="s">
        <v>844</v>
      </c>
      <c r="C177" s="166"/>
      <c r="D177" s="35"/>
      <c r="E177" s="36">
        <v>242.0</v>
      </c>
      <c r="F177" s="38">
        <v>220.0</v>
      </c>
      <c r="G177" s="75"/>
      <c r="H177" s="167">
        <v>45215.0</v>
      </c>
      <c r="I177" s="46" t="b">
        <v>1</v>
      </c>
      <c r="J177" s="48" t="b">
        <v>1</v>
      </c>
      <c r="K177" s="159">
        <f t="shared" si="1"/>
        <v>45398</v>
      </c>
      <c r="L177" s="54" t="s">
        <v>36</v>
      </c>
    </row>
    <row r="178">
      <c r="A178" s="29">
        <v>176.0</v>
      </c>
      <c r="B178" s="31" t="s">
        <v>848</v>
      </c>
      <c r="C178" s="166"/>
      <c r="D178" s="35"/>
      <c r="E178" s="36">
        <v>243.0</v>
      </c>
      <c r="F178" s="38">
        <v>220.0</v>
      </c>
      <c r="G178" s="75"/>
      <c r="H178" s="167">
        <v>45230.0</v>
      </c>
      <c r="I178" s="46" t="b">
        <v>1</v>
      </c>
      <c r="J178" s="48" t="b">
        <v>1</v>
      </c>
      <c r="K178" s="159">
        <f t="shared" si="1"/>
        <v>45412</v>
      </c>
      <c r="L178" s="54" t="s">
        <v>36</v>
      </c>
    </row>
    <row r="179">
      <c r="A179" s="29">
        <v>177.0</v>
      </c>
      <c r="B179" s="31" t="s">
        <v>850</v>
      </c>
      <c r="C179" s="33"/>
      <c r="D179" s="35"/>
      <c r="E179" s="36">
        <v>244.0</v>
      </c>
      <c r="F179" s="38">
        <v>220.0</v>
      </c>
      <c r="G179" s="75"/>
      <c r="H179" s="171">
        <v>45250.0</v>
      </c>
      <c r="I179" s="46" t="b">
        <v>1</v>
      </c>
      <c r="J179" s="48" t="b">
        <v>1</v>
      </c>
      <c r="K179" s="159">
        <f t="shared" si="1"/>
        <v>45432</v>
      </c>
      <c r="L179" s="54" t="s">
        <v>36</v>
      </c>
    </row>
    <row r="180">
      <c r="A180" s="29">
        <v>178.0</v>
      </c>
      <c r="B180" s="31" t="s">
        <v>852</v>
      </c>
      <c r="C180" s="33"/>
      <c r="D180" s="35"/>
      <c r="E180" s="36">
        <v>245.0</v>
      </c>
      <c r="F180" s="38">
        <v>220.0</v>
      </c>
      <c r="G180" s="75"/>
      <c r="H180" s="163">
        <v>45264.0</v>
      </c>
      <c r="I180" s="46" t="b">
        <v>1</v>
      </c>
      <c r="J180" s="48" t="b">
        <v>1</v>
      </c>
      <c r="K180" s="159">
        <f t="shared" si="1"/>
        <v>45447</v>
      </c>
      <c r="L180" s="54" t="s">
        <v>36</v>
      </c>
    </row>
    <row r="181">
      <c r="A181" s="29">
        <v>179.0</v>
      </c>
      <c r="B181" s="42" t="s">
        <v>853</v>
      </c>
      <c r="C181" s="51"/>
      <c r="D181" s="47"/>
      <c r="E181" s="90">
        <v>246.0</v>
      </c>
      <c r="F181" s="53">
        <v>220.0</v>
      </c>
      <c r="G181" s="80"/>
      <c r="H181" s="160">
        <v>45269.0</v>
      </c>
      <c r="I181" s="58" t="b">
        <v>1</v>
      </c>
      <c r="J181" s="60" t="b">
        <v>1</v>
      </c>
      <c r="K181" s="159">
        <f t="shared" si="1"/>
        <v>45452</v>
      </c>
      <c r="L181" s="54" t="s">
        <v>36</v>
      </c>
    </row>
    <row r="182">
      <c r="A182" s="29">
        <v>180.0</v>
      </c>
      <c r="B182" s="42" t="s">
        <v>854</v>
      </c>
      <c r="C182" s="51"/>
      <c r="D182" s="47"/>
      <c r="E182" s="90">
        <v>247.0</v>
      </c>
      <c r="F182" s="53">
        <v>220.0</v>
      </c>
      <c r="G182" s="80"/>
      <c r="H182" s="55">
        <v>45272.0</v>
      </c>
      <c r="I182" s="58" t="b">
        <v>1</v>
      </c>
      <c r="J182" s="60" t="b">
        <v>1</v>
      </c>
      <c r="K182" s="159">
        <f t="shared" si="1"/>
        <v>45455</v>
      </c>
      <c r="L182" s="54" t="s">
        <v>36</v>
      </c>
    </row>
    <row r="183">
      <c r="A183" s="29">
        <v>181.0</v>
      </c>
      <c r="B183" s="42" t="s">
        <v>856</v>
      </c>
      <c r="C183" s="51"/>
      <c r="D183" s="47"/>
      <c r="E183" s="90">
        <v>248.0</v>
      </c>
      <c r="F183" s="53">
        <v>220.0</v>
      </c>
      <c r="G183" s="80"/>
      <c r="H183" s="55">
        <v>45272.0</v>
      </c>
      <c r="I183" s="58" t="b">
        <v>1</v>
      </c>
      <c r="J183" s="60" t="b">
        <v>1</v>
      </c>
      <c r="K183" s="159">
        <f t="shared" si="1"/>
        <v>45455</v>
      </c>
      <c r="L183" s="54" t="s">
        <v>36</v>
      </c>
    </row>
    <row r="184">
      <c r="A184" s="29">
        <v>182.0</v>
      </c>
      <c r="B184" s="42" t="s">
        <v>857</v>
      </c>
      <c r="C184" s="51"/>
      <c r="D184" s="47"/>
      <c r="E184" s="90">
        <v>249.0</v>
      </c>
      <c r="F184" s="53">
        <v>220.0</v>
      </c>
      <c r="G184" s="80"/>
      <c r="H184" s="55">
        <v>45275.0</v>
      </c>
      <c r="I184" s="58" t="b">
        <v>1</v>
      </c>
      <c r="J184" s="60" t="b">
        <v>1</v>
      </c>
      <c r="K184" s="159">
        <f t="shared" si="1"/>
        <v>45458</v>
      </c>
      <c r="L184" s="54" t="s">
        <v>36</v>
      </c>
    </row>
    <row r="185">
      <c r="A185" s="29">
        <v>183.0</v>
      </c>
      <c r="B185" s="31" t="s">
        <v>858</v>
      </c>
      <c r="C185" s="33"/>
      <c r="D185" s="35"/>
      <c r="E185" s="36">
        <v>250.0</v>
      </c>
      <c r="F185" s="38">
        <v>220.0</v>
      </c>
      <c r="G185" s="75"/>
      <c r="H185" s="167">
        <v>45276.0</v>
      </c>
      <c r="I185" s="46" t="b">
        <v>1</v>
      </c>
      <c r="J185" s="48" t="b">
        <v>1</v>
      </c>
      <c r="K185" s="159">
        <f t="shared" si="1"/>
        <v>45459</v>
      </c>
      <c r="L185" s="54" t="s">
        <v>36</v>
      </c>
    </row>
    <row r="186">
      <c r="A186" s="29">
        <v>184.0</v>
      </c>
      <c r="B186" s="42" t="s">
        <v>859</v>
      </c>
      <c r="C186" s="51"/>
      <c r="D186" s="47"/>
      <c r="E186" s="90">
        <v>251.0</v>
      </c>
      <c r="F186" s="53">
        <v>220.0</v>
      </c>
      <c r="G186" s="80"/>
      <c r="H186" s="55">
        <v>45277.0</v>
      </c>
      <c r="I186" s="58" t="b">
        <v>1</v>
      </c>
      <c r="J186" s="60" t="b">
        <v>1</v>
      </c>
      <c r="K186" s="159">
        <f t="shared" si="1"/>
        <v>45460</v>
      </c>
      <c r="L186" s="54" t="s">
        <v>36</v>
      </c>
    </row>
    <row r="187">
      <c r="A187" s="29">
        <v>185.0</v>
      </c>
      <c r="B187" s="31" t="s">
        <v>861</v>
      </c>
      <c r="C187" s="33"/>
      <c r="D187" s="35"/>
      <c r="E187" s="36">
        <v>253.0</v>
      </c>
      <c r="F187" s="38">
        <v>220.0</v>
      </c>
      <c r="G187" s="75"/>
      <c r="H187" s="167">
        <v>45278.0</v>
      </c>
      <c r="I187" s="46" t="b">
        <v>1</v>
      </c>
      <c r="J187" s="48" t="b">
        <v>1</v>
      </c>
      <c r="K187" s="159">
        <f t="shared" si="1"/>
        <v>45461</v>
      </c>
      <c r="L187" s="54" t="s">
        <v>36</v>
      </c>
    </row>
    <row r="188">
      <c r="A188" s="29">
        <v>186.0</v>
      </c>
      <c r="B188" s="31" t="s">
        <v>862</v>
      </c>
      <c r="C188" s="33"/>
      <c r="D188" s="35"/>
      <c r="E188" s="36">
        <v>254.0</v>
      </c>
      <c r="F188" s="38">
        <v>220.0</v>
      </c>
      <c r="G188" s="75"/>
      <c r="H188" s="167">
        <v>45278.0</v>
      </c>
      <c r="I188" s="46" t="b">
        <v>1</v>
      </c>
      <c r="J188" s="48" t="b">
        <v>1</v>
      </c>
      <c r="K188" s="159">
        <f t="shared" si="1"/>
        <v>45461</v>
      </c>
      <c r="L188" s="54" t="s">
        <v>36</v>
      </c>
    </row>
    <row r="189">
      <c r="A189" s="29">
        <v>187.0</v>
      </c>
      <c r="B189" s="42" t="s">
        <v>864</v>
      </c>
      <c r="C189" s="51"/>
      <c r="D189" s="47"/>
      <c r="E189" s="90">
        <v>256.0</v>
      </c>
      <c r="F189" s="53">
        <v>220.0</v>
      </c>
      <c r="G189" s="80"/>
      <c r="H189" s="55">
        <v>45278.0</v>
      </c>
      <c r="I189" s="58" t="b">
        <v>1</v>
      </c>
      <c r="J189" s="60" t="b">
        <v>1</v>
      </c>
      <c r="K189" s="159">
        <f t="shared" si="1"/>
        <v>45461</v>
      </c>
      <c r="L189" s="54" t="s">
        <v>36</v>
      </c>
    </row>
    <row r="190">
      <c r="A190" s="29">
        <v>188.0</v>
      </c>
      <c r="B190" s="42" t="s">
        <v>865</v>
      </c>
      <c r="C190" s="51"/>
      <c r="D190" s="47"/>
      <c r="E190" s="90">
        <v>258.0</v>
      </c>
      <c r="F190" s="53">
        <v>220.0</v>
      </c>
      <c r="G190" s="80"/>
      <c r="H190" s="55">
        <v>45279.0</v>
      </c>
      <c r="I190" s="58" t="b">
        <v>1</v>
      </c>
      <c r="J190" s="60" t="b">
        <v>1</v>
      </c>
      <c r="K190" s="159">
        <f t="shared" si="1"/>
        <v>45462</v>
      </c>
      <c r="L190" s="54" t="s">
        <v>36</v>
      </c>
    </row>
    <row r="191">
      <c r="A191" s="29">
        <v>189.0</v>
      </c>
      <c r="B191" s="42" t="s">
        <v>866</v>
      </c>
      <c r="C191" s="51"/>
      <c r="D191" s="47"/>
      <c r="E191" s="90">
        <v>259.0</v>
      </c>
      <c r="F191" s="53">
        <v>220.0</v>
      </c>
      <c r="G191" s="80"/>
      <c r="H191" s="55">
        <v>45280.0</v>
      </c>
      <c r="I191" s="58" t="b">
        <v>1</v>
      </c>
      <c r="J191" s="60" t="b">
        <v>1</v>
      </c>
      <c r="K191" s="159">
        <f t="shared" si="1"/>
        <v>45463</v>
      </c>
      <c r="L191" s="54" t="s">
        <v>36</v>
      </c>
    </row>
    <row r="192">
      <c r="A192" s="29">
        <v>190.0</v>
      </c>
      <c r="B192" s="42" t="s">
        <v>868</v>
      </c>
      <c r="C192" s="51"/>
      <c r="D192" s="47"/>
      <c r="E192" s="90">
        <v>260.0</v>
      </c>
      <c r="F192" s="53">
        <v>220.0</v>
      </c>
      <c r="G192" s="80"/>
      <c r="H192" s="55">
        <v>45281.0</v>
      </c>
      <c r="I192" s="58" t="b">
        <v>1</v>
      </c>
      <c r="J192" s="60" t="b">
        <v>1</v>
      </c>
      <c r="K192" s="159">
        <f t="shared" si="1"/>
        <v>45464</v>
      </c>
      <c r="L192" s="54" t="s">
        <v>36</v>
      </c>
    </row>
    <row r="193">
      <c r="A193" s="29">
        <v>191.0</v>
      </c>
      <c r="B193" s="42" t="s">
        <v>868</v>
      </c>
      <c r="C193" s="51"/>
      <c r="D193" s="47"/>
      <c r="E193" s="90">
        <v>261.0</v>
      </c>
      <c r="F193" s="53">
        <v>220.0</v>
      </c>
      <c r="G193" s="80"/>
      <c r="H193" s="55">
        <v>45281.0</v>
      </c>
      <c r="I193" s="58" t="b">
        <v>1</v>
      </c>
      <c r="J193" s="60" t="b">
        <v>1</v>
      </c>
      <c r="K193" s="159">
        <f t="shared" si="1"/>
        <v>45464</v>
      </c>
      <c r="L193" s="54" t="s">
        <v>36</v>
      </c>
    </row>
    <row r="194">
      <c r="A194" s="29">
        <v>192.0</v>
      </c>
      <c r="B194" s="42" t="s">
        <v>870</v>
      </c>
      <c r="C194" s="51"/>
      <c r="D194" s="47"/>
      <c r="E194" s="90">
        <v>262.0</v>
      </c>
      <c r="F194" s="53">
        <v>220.0</v>
      </c>
      <c r="G194" s="80"/>
      <c r="H194" s="55">
        <v>45282.0</v>
      </c>
      <c r="I194" s="58" t="b">
        <v>1</v>
      </c>
      <c r="J194" s="60" t="b">
        <v>1</v>
      </c>
      <c r="K194" s="159">
        <f t="shared" si="1"/>
        <v>45465</v>
      </c>
      <c r="L194" s="54" t="s">
        <v>36</v>
      </c>
    </row>
    <row r="195">
      <c r="A195" s="29">
        <v>193.0</v>
      </c>
      <c r="B195" s="42" t="s">
        <v>871</v>
      </c>
      <c r="C195" s="51"/>
      <c r="D195" s="47"/>
      <c r="E195" s="90">
        <v>263.0</v>
      </c>
      <c r="F195" s="53">
        <v>220.0</v>
      </c>
      <c r="G195" s="80"/>
      <c r="H195" s="55">
        <v>45282.0</v>
      </c>
      <c r="I195" s="58" t="b">
        <v>1</v>
      </c>
      <c r="J195" s="60" t="b">
        <v>1</v>
      </c>
      <c r="K195" s="159">
        <f t="shared" si="1"/>
        <v>45465</v>
      </c>
      <c r="L195" s="54" t="s">
        <v>36</v>
      </c>
    </row>
    <row r="196">
      <c r="A196" s="29">
        <v>194.0</v>
      </c>
      <c r="B196" s="42" t="s">
        <v>653</v>
      </c>
      <c r="C196" s="51"/>
      <c r="D196" s="47"/>
      <c r="E196" s="90">
        <v>265.0</v>
      </c>
      <c r="F196" s="53">
        <v>220.0</v>
      </c>
      <c r="G196" s="80"/>
      <c r="H196" s="55">
        <v>45284.0</v>
      </c>
      <c r="I196" s="58" t="b">
        <v>1</v>
      </c>
      <c r="J196" s="60" t="b">
        <v>1</v>
      </c>
      <c r="K196" s="159">
        <f t="shared" si="1"/>
        <v>45467</v>
      </c>
      <c r="L196" s="54" t="s">
        <v>36</v>
      </c>
    </row>
    <row r="197">
      <c r="A197" s="29">
        <v>195.0</v>
      </c>
      <c r="B197" s="42" t="s">
        <v>873</v>
      </c>
      <c r="C197" s="51"/>
      <c r="D197" s="47"/>
      <c r="E197" s="90">
        <v>266.0</v>
      </c>
      <c r="F197" s="53">
        <v>220.0</v>
      </c>
      <c r="G197" s="80"/>
      <c r="H197" s="55">
        <v>45284.0</v>
      </c>
      <c r="I197" s="58" t="b">
        <v>1</v>
      </c>
      <c r="J197" s="60" t="b">
        <v>1</v>
      </c>
      <c r="K197" s="159">
        <f t="shared" si="1"/>
        <v>45467</v>
      </c>
      <c r="L197" s="54" t="s">
        <v>36</v>
      </c>
    </row>
    <row r="198">
      <c r="A198" s="29">
        <v>196.0</v>
      </c>
      <c r="B198" s="31" t="s">
        <v>875</v>
      </c>
      <c r="C198" s="33"/>
      <c r="D198" s="35"/>
      <c r="E198" s="36">
        <v>268.0</v>
      </c>
      <c r="F198" s="38">
        <v>220.0</v>
      </c>
      <c r="G198" s="75"/>
      <c r="H198" s="167">
        <v>45285.0</v>
      </c>
      <c r="I198" s="46" t="b">
        <v>1</v>
      </c>
      <c r="J198" s="48" t="b">
        <v>1</v>
      </c>
      <c r="K198" s="159">
        <f t="shared" si="1"/>
        <v>45468</v>
      </c>
      <c r="L198" s="54" t="s">
        <v>36</v>
      </c>
    </row>
    <row r="199">
      <c r="A199" s="29">
        <v>197.0</v>
      </c>
      <c r="B199" s="42" t="s">
        <v>877</v>
      </c>
      <c r="C199" s="51"/>
      <c r="D199" s="47"/>
      <c r="E199" s="90">
        <v>269.0</v>
      </c>
      <c r="F199" s="53">
        <v>220.0</v>
      </c>
      <c r="G199" s="80"/>
      <c r="H199" s="55">
        <v>45285.0</v>
      </c>
      <c r="I199" s="58" t="b">
        <v>1</v>
      </c>
      <c r="J199" s="58" t="b">
        <v>1</v>
      </c>
      <c r="K199" s="159">
        <f t="shared" si="1"/>
        <v>45468</v>
      </c>
      <c r="L199" s="54" t="s">
        <v>36</v>
      </c>
    </row>
    <row r="200">
      <c r="A200" s="29">
        <v>198.0</v>
      </c>
      <c r="B200" s="42" t="s">
        <v>878</v>
      </c>
      <c r="C200" s="51"/>
      <c r="D200" s="47"/>
      <c r="E200" s="90">
        <v>270.0</v>
      </c>
      <c r="F200" s="53">
        <v>220.0</v>
      </c>
      <c r="G200" s="80"/>
      <c r="H200" s="55">
        <v>45287.0</v>
      </c>
      <c r="I200" s="58" t="b">
        <v>1</v>
      </c>
      <c r="J200" s="60" t="b">
        <v>1</v>
      </c>
      <c r="K200" s="159">
        <f t="shared" si="1"/>
        <v>45470</v>
      </c>
      <c r="L200" s="54" t="s">
        <v>36</v>
      </c>
    </row>
    <row r="201">
      <c r="A201" s="29">
        <v>199.0</v>
      </c>
      <c r="B201" s="42" t="s">
        <v>878</v>
      </c>
      <c r="C201" s="51"/>
      <c r="D201" s="47"/>
      <c r="E201" s="90">
        <v>271.0</v>
      </c>
      <c r="F201" s="53">
        <v>220.0</v>
      </c>
      <c r="G201" s="80"/>
      <c r="H201" s="55">
        <v>45287.0</v>
      </c>
      <c r="I201" s="58" t="b">
        <v>1</v>
      </c>
      <c r="J201" s="60" t="b">
        <v>1</v>
      </c>
      <c r="K201" s="159">
        <f t="shared" si="1"/>
        <v>45470</v>
      </c>
      <c r="L201" s="54" t="s">
        <v>36</v>
      </c>
    </row>
    <row r="202">
      <c r="A202" s="29">
        <v>200.0</v>
      </c>
      <c r="B202" s="31" t="s">
        <v>881</v>
      </c>
      <c r="C202" s="33"/>
      <c r="D202" s="35"/>
      <c r="E202" s="36">
        <v>274.0</v>
      </c>
      <c r="F202" s="38">
        <v>220.0</v>
      </c>
      <c r="G202" s="75"/>
      <c r="H202" s="167">
        <v>45289.0</v>
      </c>
      <c r="I202" s="46" t="b">
        <v>1</v>
      </c>
      <c r="J202" s="48" t="b">
        <v>1</v>
      </c>
      <c r="K202" s="159">
        <f t="shared" si="1"/>
        <v>45472</v>
      </c>
      <c r="L202" s="54" t="s">
        <v>36</v>
      </c>
    </row>
    <row r="203">
      <c r="A203" s="29">
        <v>201.0</v>
      </c>
      <c r="B203" s="42" t="s">
        <v>882</v>
      </c>
      <c r="C203" s="51"/>
      <c r="D203" s="47"/>
      <c r="E203" s="90">
        <v>275.0</v>
      </c>
      <c r="F203" s="53">
        <v>220.0</v>
      </c>
      <c r="G203" s="80"/>
      <c r="H203" s="55">
        <v>45290.0</v>
      </c>
      <c r="I203" s="58" t="b">
        <v>1</v>
      </c>
      <c r="J203" s="60" t="b">
        <v>1</v>
      </c>
      <c r="K203" s="159">
        <f t="shared" si="1"/>
        <v>45473</v>
      </c>
      <c r="L203" s="54" t="s">
        <v>36</v>
      </c>
    </row>
    <row r="204">
      <c r="A204" s="29">
        <v>202.0</v>
      </c>
      <c r="B204" s="42" t="s">
        <v>884</v>
      </c>
      <c r="C204" s="51"/>
      <c r="D204" s="47"/>
      <c r="E204" s="90">
        <v>276.0</v>
      </c>
      <c r="F204" s="53">
        <v>220.0</v>
      </c>
      <c r="G204" s="80"/>
      <c r="H204" s="160">
        <v>45294.0</v>
      </c>
      <c r="I204" s="58" t="b">
        <v>1</v>
      </c>
      <c r="J204" s="60" t="b">
        <v>1</v>
      </c>
      <c r="K204" s="159">
        <f t="shared" si="1"/>
        <v>45476</v>
      </c>
      <c r="L204" s="54" t="s">
        <v>36</v>
      </c>
    </row>
    <row r="205">
      <c r="A205" s="29">
        <v>203.0</v>
      </c>
      <c r="B205" s="31" t="s">
        <v>886</v>
      </c>
      <c r="C205" s="33"/>
      <c r="D205" s="35"/>
      <c r="E205" s="36">
        <v>277.0</v>
      </c>
      <c r="F205" s="38">
        <v>220.0</v>
      </c>
      <c r="G205" s="75"/>
      <c r="H205" s="163">
        <v>45296.0</v>
      </c>
      <c r="I205" s="46" t="b">
        <v>1</v>
      </c>
      <c r="J205" s="48" t="b">
        <v>1</v>
      </c>
      <c r="K205" s="159">
        <f t="shared" si="1"/>
        <v>45478</v>
      </c>
      <c r="L205" s="54" t="s">
        <v>36</v>
      </c>
    </row>
    <row r="206">
      <c r="A206" s="29">
        <v>204.0</v>
      </c>
      <c r="B206" s="31" t="s">
        <v>888</v>
      </c>
      <c r="C206" s="33"/>
      <c r="D206" s="35"/>
      <c r="E206" s="36">
        <v>278.0</v>
      </c>
      <c r="F206" s="38">
        <v>220.0</v>
      </c>
      <c r="G206" s="75"/>
      <c r="H206" s="163">
        <v>45297.0</v>
      </c>
      <c r="I206" s="46" t="b">
        <v>1</v>
      </c>
      <c r="J206" s="48" t="b">
        <v>1</v>
      </c>
      <c r="K206" s="159">
        <f t="shared" si="1"/>
        <v>45479</v>
      </c>
      <c r="L206" s="54" t="s">
        <v>36</v>
      </c>
    </row>
    <row r="207">
      <c r="A207" s="29">
        <v>205.0</v>
      </c>
      <c r="B207" s="31" t="s">
        <v>889</v>
      </c>
      <c r="C207" s="33"/>
      <c r="D207" s="181"/>
      <c r="E207" s="36">
        <v>10001.0</v>
      </c>
      <c r="F207" s="38">
        <v>200.0</v>
      </c>
      <c r="G207" s="75"/>
      <c r="H207" s="163">
        <v>45300.0</v>
      </c>
      <c r="I207" s="46" t="b">
        <v>1</v>
      </c>
      <c r="J207" s="48" t="b">
        <v>1</v>
      </c>
      <c r="K207" s="159">
        <f t="shared" si="1"/>
        <v>45482</v>
      </c>
      <c r="L207" s="54" t="s">
        <v>36</v>
      </c>
    </row>
    <row r="208">
      <c r="A208" s="29">
        <v>206.0</v>
      </c>
      <c r="B208" s="42" t="s">
        <v>890</v>
      </c>
      <c r="C208" s="51"/>
      <c r="D208" s="182"/>
      <c r="E208" s="90">
        <v>10002.0</v>
      </c>
      <c r="F208" s="53">
        <v>225.0</v>
      </c>
      <c r="G208" s="80"/>
      <c r="H208" s="160">
        <v>45346.0</v>
      </c>
      <c r="I208" s="58" t="b">
        <v>1</v>
      </c>
      <c r="J208" s="113" t="b">
        <v>0</v>
      </c>
      <c r="K208" s="159">
        <f t="shared" si="1"/>
        <v>45528</v>
      </c>
      <c r="L208" s="54" t="s">
        <v>36</v>
      </c>
    </row>
    <row r="209">
      <c r="A209" s="29">
        <v>207.0</v>
      </c>
      <c r="B209" s="42" t="s">
        <v>892</v>
      </c>
      <c r="C209" s="51"/>
      <c r="D209" s="182"/>
      <c r="E209" s="90">
        <v>10003.0</v>
      </c>
      <c r="F209" s="53">
        <v>225.0</v>
      </c>
      <c r="G209" s="80"/>
      <c r="H209" s="160">
        <v>45350.0</v>
      </c>
      <c r="I209" s="58" t="b">
        <v>1</v>
      </c>
      <c r="J209" s="60" t="b">
        <v>1</v>
      </c>
      <c r="K209" s="159">
        <f t="shared" si="1"/>
        <v>45532</v>
      </c>
      <c r="L209" s="54" t="s">
        <v>36</v>
      </c>
    </row>
    <row r="210">
      <c r="A210" s="29">
        <v>208.0</v>
      </c>
      <c r="B210" s="42" t="s">
        <v>894</v>
      </c>
      <c r="C210" s="51"/>
      <c r="D210" s="182"/>
      <c r="E210" s="90">
        <v>10004.0</v>
      </c>
      <c r="F210" s="53">
        <v>225.0</v>
      </c>
      <c r="G210" s="80"/>
      <c r="H210" s="55">
        <v>45356.0</v>
      </c>
      <c r="I210" s="58" t="b">
        <v>1</v>
      </c>
      <c r="J210" s="60" t="b">
        <v>1</v>
      </c>
      <c r="K210" s="159">
        <f t="shared" si="1"/>
        <v>45540</v>
      </c>
      <c r="L210" s="54" t="s">
        <v>36</v>
      </c>
    </row>
    <row r="211">
      <c r="A211" s="29">
        <v>209.0</v>
      </c>
      <c r="B211" s="42" t="s">
        <v>895</v>
      </c>
      <c r="C211" s="51"/>
      <c r="D211" s="182"/>
      <c r="E211" s="90">
        <v>10005.0</v>
      </c>
      <c r="F211" s="53">
        <v>225.0</v>
      </c>
      <c r="G211" s="80"/>
      <c r="H211" s="160">
        <v>45358.0</v>
      </c>
      <c r="I211" s="58" t="b">
        <v>1</v>
      </c>
      <c r="J211" s="60" t="b">
        <v>1</v>
      </c>
      <c r="K211" s="159">
        <f t="shared" si="1"/>
        <v>45542</v>
      </c>
      <c r="L211" s="54" t="s">
        <v>36</v>
      </c>
    </row>
    <row r="212">
      <c r="A212" s="29">
        <v>210.0</v>
      </c>
      <c r="B212" s="42" t="s">
        <v>896</v>
      </c>
      <c r="C212" s="51"/>
      <c r="D212" s="182"/>
      <c r="E212" s="90">
        <v>10006.0</v>
      </c>
      <c r="F212" s="53">
        <v>225.0</v>
      </c>
      <c r="G212" s="80"/>
      <c r="H212" s="160">
        <v>45364.0</v>
      </c>
      <c r="I212" s="58" t="b">
        <v>1</v>
      </c>
      <c r="J212" s="60" t="b">
        <v>0</v>
      </c>
      <c r="K212" s="159">
        <f t="shared" si="1"/>
        <v>45548</v>
      </c>
      <c r="L212" s="54" t="s">
        <v>36</v>
      </c>
    </row>
    <row r="213">
      <c r="A213" s="29">
        <v>211.0</v>
      </c>
      <c r="B213" s="42" t="s">
        <v>898</v>
      </c>
      <c r="C213" s="51"/>
      <c r="D213" s="182"/>
      <c r="E213" s="90">
        <v>10007.0</v>
      </c>
      <c r="F213" s="53">
        <v>225.0</v>
      </c>
      <c r="G213" s="80"/>
      <c r="H213" s="160">
        <v>45365.0</v>
      </c>
      <c r="I213" s="58" t="b">
        <v>1</v>
      </c>
      <c r="J213" s="60" t="b">
        <v>1</v>
      </c>
      <c r="K213" s="159">
        <f t="shared" si="1"/>
        <v>45549</v>
      </c>
      <c r="L213" s="54" t="s">
        <v>36</v>
      </c>
    </row>
    <row r="214">
      <c r="A214" s="29">
        <v>212.0</v>
      </c>
      <c r="B214" s="42" t="s">
        <v>899</v>
      </c>
      <c r="C214" s="51"/>
      <c r="D214" s="182"/>
      <c r="E214" s="90">
        <v>10008.0</v>
      </c>
      <c r="F214" s="53">
        <v>225.0</v>
      </c>
      <c r="G214" s="80"/>
      <c r="H214" s="160">
        <v>45366.0</v>
      </c>
      <c r="I214" s="58" t="b">
        <v>1</v>
      </c>
      <c r="J214" s="60" t="b">
        <v>1</v>
      </c>
      <c r="K214" s="159">
        <f t="shared" si="1"/>
        <v>45550</v>
      </c>
      <c r="L214" s="54" t="s">
        <v>36</v>
      </c>
    </row>
    <row r="215">
      <c r="A215" s="29">
        <v>213.0</v>
      </c>
      <c r="B215" s="42" t="s">
        <v>901</v>
      </c>
      <c r="C215" s="51"/>
      <c r="D215" s="182"/>
      <c r="E215" s="90">
        <v>10009.0</v>
      </c>
      <c r="F215" s="53">
        <v>225.0</v>
      </c>
      <c r="G215" s="80"/>
      <c r="H215" s="160">
        <v>45367.0</v>
      </c>
      <c r="I215" s="58" t="b">
        <v>1</v>
      </c>
      <c r="J215" s="60" t="b">
        <v>1</v>
      </c>
      <c r="K215" s="159">
        <f t="shared" si="1"/>
        <v>45551</v>
      </c>
      <c r="L215" s="54" t="s">
        <v>36</v>
      </c>
    </row>
    <row r="216">
      <c r="A216" s="29">
        <v>214.0</v>
      </c>
      <c r="B216" s="42" t="s">
        <v>903</v>
      </c>
      <c r="C216" s="51"/>
      <c r="D216" s="182"/>
      <c r="E216" s="90">
        <v>10010.0</v>
      </c>
      <c r="F216" s="53">
        <v>225.0</v>
      </c>
      <c r="G216" s="80"/>
      <c r="H216" s="160">
        <v>45371.0</v>
      </c>
      <c r="I216" s="58" t="b">
        <v>1</v>
      </c>
      <c r="J216" s="60" t="b">
        <v>1</v>
      </c>
      <c r="K216" s="159">
        <f t="shared" si="1"/>
        <v>45555</v>
      </c>
      <c r="L216" s="54" t="s">
        <v>36</v>
      </c>
    </row>
    <row r="217">
      <c r="A217" s="29">
        <v>215.0</v>
      </c>
      <c r="B217" s="42" t="s">
        <v>905</v>
      </c>
      <c r="C217" s="51"/>
      <c r="D217" s="182"/>
      <c r="E217" s="90">
        <v>10011.0</v>
      </c>
      <c r="F217" s="53">
        <v>225.0</v>
      </c>
      <c r="G217" s="80"/>
      <c r="H217" s="55">
        <v>45374.0</v>
      </c>
      <c r="I217" s="58" t="b">
        <v>1</v>
      </c>
      <c r="J217" s="113" t="b">
        <v>0</v>
      </c>
      <c r="K217" s="159">
        <f t="shared" si="1"/>
        <v>45558</v>
      </c>
      <c r="L217" s="54" t="s">
        <v>36</v>
      </c>
    </row>
    <row r="218">
      <c r="A218" s="29">
        <v>216.0</v>
      </c>
      <c r="B218" s="42" t="s">
        <v>906</v>
      </c>
      <c r="C218" s="51"/>
      <c r="D218" s="182"/>
      <c r="E218" s="90">
        <v>10012.0</v>
      </c>
      <c r="F218" s="53">
        <v>225.0</v>
      </c>
      <c r="G218" s="80"/>
      <c r="H218" s="160">
        <v>45376.0</v>
      </c>
      <c r="I218" s="58" t="b">
        <v>1</v>
      </c>
      <c r="J218" s="60" t="b">
        <v>1</v>
      </c>
      <c r="K218" s="159">
        <f t="shared" si="1"/>
        <v>45560</v>
      </c>
      <c r="L218" s="54" t="s">
        <v>36</v>
      </c>
    </row>
    <row r="219">
      <c r="A219" s="29">
        <v>217.0</v>
      </c>
      <c r="B219" s="42" t="s">
        <v>908</v>
      </c>
      <c r="C219" s="51"/>
      <c r="D219" s="182"/>
      <c r="E219" s="90">
        <v>10013.0</v>
      </c>
      <c r="F219" s="53">
        <v>225.0</v>
      </c>
      <c r="G219" s="80"/>
      <c r="H219" s="160">
        <v>45377.0</v>
      </c>
      <c r="I219" s="58" t="b">
        <v>1</v>
      </c>
      <c r="J219" s="60" t="b">
        <v>1</v>
      </c>
      <c r="K219" s="159">
        <f t="shared" si="1"/>
        <v>45561</v>
      </c>
      <c r="L219" s="54" t="s">
        <v>36</v>
      </c>
    </row>
    <row r="220">
      <c r="A220" s="29">
        <v>218.0</v>
      </c>
      <c r="B220" s="42" t="s">
        <v>910</v>
      </c>
      <c r="C220" s="51"/>
      <c r="D220" s="182"/>
      <c r="E220" s="90">
        <v>10014.0</v>
      </c>
      <c r="F220" s="53">
        <v>225.0</v>
      </c>
      <c r="G220" s="80"/>
      <c r="H220" s="160">
        <v>45377.0</v>
      </c>
      <c r="I220" s="58" t="b">
        <v>1</v>
      </c>
      <c r="J220" s="60" t="b">
        <v>1</v>
      </c>
      <c r="K220" s="159">
        <f t="shared" si="1"/>
        <v>45561</v>
      </c>
      <c r="L220" s="54" t="s">
        <v>36</v>
      </c>
    </row>
    <row r="221">
      <c r="A221" s="29">
        <v>219.0</v>
      </c>
      <c r="B221" s="42" t="s">
        <v>912</v>
      </c>
      <c r="C221" s="51"/>
      <c r="D221" s="182"/>
      <c r="E221" s="90">
        <v>10015.0</v>
      </c>
      <c r="F221" s="53">
        <v>225.0</v>
      </c>
      <c r="G221" s="80"/>
      <c r="H221" s="55">
        <v>45383.0</v>
      </c>
      <c r="I221" s="58" t="b">
        <v>1</v>
      </c>
      <c r="J221" s="60" t="b">
        <v>1</v>
      </c>
      <c r="K221" s="159">
        <f t="shared" si="1"/>
        <v>45566</v>
      </c>
      <c r="L221" s="54" t="s">
        <v>36</v>
      </c>
    </row>
    <row r="222">
      <c r="A222" s="29">
        <v>220.0</v>
      </c>
      <c r="B222" s="42" t="s">
        <v>914</v>
      </c>
      <c r="C222" s="51"/>
      <c r="D222" s="182"/>
      <c r="E222" s="90">
        <v>10016.0</v>
      </c>
      <c r="F222" s="53">
        <v>225.0</v>
      </c>
      <c r="G222" s="80"/>
      <c r="H222" s="55">
        <v>45384.0</v>
      </c>
      <c r="I222" s="58" t="b">
        <v>1</v>
      </c>
      <c r="J222" s="60" t="b">
        <v>1</v>
      </c>
      <c r="K222" s="159">
        <f t="shared" si="1"/>
        <v>45567</v>
      </c>
      <c r="L222" s="54" t="s">
        <v>36</v>
      </c>
    </row>
    <row r="223">
      <c r="A223" s="29">
        <v>221.0</v>
      </c>
      <c r="B223" s="42" t="s">
        <v>916</v>
      </c>
      <c r="C223" s="51"/>
      <c r="D223" s="182"/>
      <c r="E223" s="90">
        <v>10017.0</v>
      </c>
      <c r="F223" s="53">
        <v>225.0</v>
      </c>
      <c r="G223" s="80"/>
      <c r="H223" s="55">
        <v>45385.0</v>
      </c>
      <c r="I223" s="58" t="b">
        <v>1</v>
      </c>
      <c r="J223" s="60" t="b">
        <v>1</v>
      </c>
      <c r="K223" s="159">
        <f t="shared" si="1"/>
        <v>45568</v>
      </c>
      <c r="L223" s="54" t="s">
        <v>36</v>
      </c>
    </row>
    <row r="224">
      <c r="A224" s="29">
        <v>222.0</v>
      </c>
      <c r="B224" s="42" t="s">
        <v>919</v>
      </c>
      <c r="C224" s="51"/>
      <c r="D224" s="182"/>
      <c r="E224" s="90">
        <v>10018.0</v>
      </c>
      <c r="F224" s="53">
        <v>225.0</v>
      </c>
      <c r="G224" s="80"/>
      <c r="H224" s="55">
        <v>45394.0</v>
      </c>
      <c r="I224" s="58" t="b">
        <v>1</v>
      </c>
      <c r="J224" s="60" t="b">
        <v>1</v>
      </c>
      <c r="K224" s="159">
        <f t="shared" si="1"/>
        <v>45577</v>
      </c>
      <c r="L224" s="54" t="s">
        <v>36</v>
      </c>
    </row>
    <row r="225">
      <c r="A225" s="29">
        <v>223.0</v>
      </c>
      <c r="B225" s="42" t="s">
        <v>921</v>
      </c>
      <c r="C225" s="51"/>
      <c r="D225" s="182"/>
      <c r="E225" s="90">
        <v>10019.0</v>
      </c>
      <c r="F225" s="53">
        <v>225.0</v>
      </c>
      <c r="G225" s="80"/>
      <c r="H225" s="55">
        <v>45395.0</v>
      </c>
      <c r="I225" s="58" t="b">
        <v>1</v>
      </c>
      <c r="J225" s="60" t="b">
        <v>1</v>
      </c>
      <c r="K225" s="159">
        <f t="shared" si="1"/>
        <v>45578</v>
      </c>
      <c r="L225" s="54" t="s">
        <v>36</v>
      </c>
    </row>
    <row r="226">
      <c r="A226" s="29">
        <v>224.0</v>
      </c>
      <c r="B226" s="42" t="s">
        <v>923</v>
      </c>
      <c r="C226" s="51"/>
      <c r="D226" s="182"/>
      <c r="E226" s="90">
        <v>10020.0</v>
      </c>
      <c r="F226" s="53">
        <v>225.0</v>
      </c>
      <c r="G226" s="80"/>
      <c r="H226" s="160">
        <v>45398.0</v>
      </c>
      <c r="I226" s="58" t="b">
        <v>1</v>
      </c>
      <c r="J226" s="60" t="b">
        <v>1</v>
      </c>
      <c r="K226" s="159">
        <f t="shared" si="1"/>
        <v>45581</v>
      </c>
      <c r="L226" s="54" t="s">
        <v>36</v>
      </c>
    </row>
    <row r="227">
      <c r="A227" s="29">
        <v>225.0</v>
      </c>
      <c r="B227" s="42" t="s">
        <v>925</v>
      </c>
      <c r="C227" s="51"/>
      <c r="D227" s="182"/>
      <c r="E227" s="90">
        <v>10021.0</v>
      </c>
      <c r="F227" s="53">
        <v>225.0</v>
      </c>
      <c r="G227" s="80"/>
      <c r="H227" s="55">
        <v>45398.0</v>
      </c>
      <c r="I227" s="58" t="b">
        <v>1</v>
      </c>
      <c r="J227" s="60" t="b">
        <v>1</v>
      </c>
      <c r="K227" s="159">
        <f t="shared" si="1"/>
        <v>45581</v>
      </c>
      <c r="L227" s="54" t="s">
        <v>36</v>
      </c>
    </row>
    <row r="228">
      <c r="A228" s="29">
        <v>226.0</v>
      </c>
      <c r="B228" s="42" t="s">
        <v>927</v>
      </c>
      <c r="C228" s="51"/>
      <c r="D228" s="182"/>
      <c r="E228" s="90">
        <v>10022.0</v>
      </c>
      <c r="F228" s="53">
        <v>225.0</v>
      </c>
      <c r="G228" s="80"/>
      <c r="H228" s="55">
        <v>45400.0</v>
      </c>
      <c r="I228" s="58" t="b">
        <v>1</v>
      </c>
      <c r="J228" s="60" t="b">
        <v>1</v>
      </c>
      <c r="K228" s="159">
        <f t="shared" si="1"/>
        <v>45583</v>
      </c>
      <c r="L228" s="54" t="s">
        <v>36</v>
      </c>
    </row>
    <row r="229">
      <c r="A229" s="29">
        <v>227.0</v>
      </c>
      <c r="B229" s="42" t="s">
        <v>929</v>
      </c>
      <c r="C229" s="51"/>
      <c r="D229" s="182"/>
      <c r="E229" s="90">
        <v>10023.0</v>
      </c>
      <c r="F229" s="53">
        <v>225.0</v>
      </c>
      <c r="G229" s="80"/>
      <c r="H229" s="55">
        <v>45400.0</v>
      </c>
      <c r="I229" s="58" t="b">
        <v>1</v>
      </c>
      <c r="J229" s="60" t="b">
        <v>1</v>
      </c>
      <c r="K229" s="159">
        <f t="shared" si="1"/>
        <v>45583</v>
      </c>
      <c r="L229" s="54" t="s">
        <v>36</v>
      </c>
    </row>
    <row r="230">
      <c r="A230" s="29">
        <v>228.0</v>
      </c>
      <c r="B230" s="42" t="s">
        <v>930</v>
      </c>
      <c r="C230" s="51"/>
      <c r="D230" s="182"/>
      <c r="E230" s="90">
        <v>10024.0</v>
      </c>
      <c r="F230" s="53">
        <v>225.0</v>
      </c>
      <c r="G230" s="80"/>
      <c r="H230" s="55">
        <v>45400.0</v>
      </c>
      <c r="I230" s="58" t="b">
        <v>1</v>
      </c>
      <c r="J230" s="60" t="b">
        <v>1</v>
      </c>
      <c r="K230" s="159">
        <f t="shared" si="1"/>
        <v>45583</v>
      </c>
      <c r="L230" s="54" t="s">
        <v>36</v>
      </c>
    </row>
    <row r="231">
      <c r="A231" s="29">
        <v>229.0</v>
      </c>
      <c r="B231" s="42" t="s">
        <v>932</v>
      </c>
      <c r="C231" s="51"/>
      <c r="D231" s="182"/>
      <c r="E231" s="90">
        <v>10025.0</v>
      </c>
      <c r="F231" s="53">
        <v>225.0</v>
      </c>
      <c r="G231" s="80"/>
      <c r="H231" s="55">
        <v>45403.0</v>
      </c>
      <c r="I231" s="58" t="b">
        <v>1</v>
      </c>
      <c r="J231" s="113" t="b">
        <v>0</v>
      </c>
      <c r="K231" s="159">
        <f t="shared" si="1"/>
        <v>45586</v>
      </c>
      <c r="L231" s="54" t="s">
        <v>36</v>
      </c>
    </row>
    <row r="232">
      <c r="A232" s="29">
        <v>230.0</v>
      </c>
      <c r="B232" s="42" t="s">
        <v>933</v>
      </c>
      <c r="C232" s="51"/>
      <c r="D232" s="182"/>
      <c r="E232" s="90">
        <v>10026.0</v>
      </c>
      <c r="F232" s="53">
        <v>225.0</v>
      </c>
      <c r="G232" s="80"/>
      <c r="H232" s="55">
        <v>45404.0</v>
      </c>
      <c r="I232" s="58" t="b">
        <v>1</v>
      </c>
      <c r="J232" s="60" t="b">
        <v>1</v>
      </c>
      <c r="K232" s="159">
        <f t="shared" si="1"/>
        <v>45587</v>
      </c>
      <c r="L232" s="54" t="s">
        <v>36</v>
      </c>
    </row>
    <row r="233">
      <c r="A233" s="29">
        <v>231.0</v>
      </c>
      <c r="B233" s="42" t="s">
        <v>935</v>
      </c>
      <c r="C233" s="51"/>
      <c r="D233" s="182"/>
      <c r="E233" s="90">
        <v>10027.0</v>
      </c>
      <c r="F233" s="53">
        <v>225.0</v>
      </c>
      <c r="G233" s="80"/>
      <c r="H233" s="55">
        <v>45407.0</v>
      </c>
      <c r="I233" s="58" t="b">
        <v>1</v>
      </c>
      <c r="J233" s="60" t="b">
        <v>1</v>
      </c>
      <c r="K233" s="159">
        <f t="shared" si="1"/>
        <v>45590</v>
      </c>
      <c r="L233" s="54" t="s">
        <v>36</v>
      </c>
    </row>
    <row r="234">
      <c r="A234" s="29">
        <v>232.0</v>
      </c>
      <c r="B234" s="42" t="s">
        <v>936</v>
      </c>
      <c r="C234" s="51"/>
      <c r="D234" s="182"/>
      <c r="E234" s="90">
        <v>10028.0</v>
      </c>
      <c r="F234" s="53">
        <v>225.0</v>
      </c>
      <c r="G234" s="80"/>
      <c r="H234" s="55">
        <v>45408.0</v>
      </c>
      <c r="I234" s="58" t="b">
        <v>1</v>
      </c>
      <c r="J234" s="60" t="b">
        <v>1</v>
      </c>
      <c r="K234" s="159">
        <f t="shared" si="1"/>
        <v>45591</v>
      </c>
      <c r="L234" s="54" t="s">
        <v>36</v>
      </c>
    </row>
    <row r="235">
      <c r="A235" s="29">
        <v>233.0</v>
      </c>
      <c r="B235" s="42" t="s">
        <v>937</v>
      </c>
      <c r="C235" s="51"/>
      <c r="D235" s="182"/>
      <c r="E235" s="90">
        <v>10029.0</v>
      </c>
      <c r="F235" s="53">
        <v>225.0</v>
      </c>
      <c r="G235" s="80"/>
      <c r="H235" s="55">
        <v>45411.0</v>
      </c>
      <c r="I235" s="58" t="b">
        <v>1</v>
      </c>
      <c r="J235" s="60" t="b">
        <v>1</v>
      </c>
      <c r="K235" s="159">
        <f t="shared" si="1"/>
        <v>45594</v>
      </c>
      <c r="L235" s="54" t="s">
        <v>36</v>
      </c>
    </row>
    <row r="236">
      <c r="A236" s="29">
        <v>234.0</v>
      </c>
      <c r="B236" s="42" t="s">
        <v>939</v>
      </c>
      <c r="C236" s="51"/>
      <c r="D236" s="182"/>
      <c r="E236" s="90">
        <v>10030.0</v>
      </c>
      <c r="F236" s="53">
        <v>225.0</v>
      </c>
      <c r="G236" s="80"/>
      <c r="H236" s="55">
        <v>45412.0</v>
      </c>
      <c r="I236" s="58" t="b">
        <v>1</v>
      </c>
      <c r="J236" s="60" t="b">
        <v>1</v>
      </c>
      <c r="K236" s="159">
        <f t="shared" si="1"/>
        <v>45595</v>
      </c>
      <c r="L236" s="54" t="s">
        <v>36</v>
      </c>
    </row>
    <row r="237">
      <c r="A237" s="29">
        <v>235.0</v>
      </c>
      <c r="B237" s="42" t="s">
        <v>940</v>
      </c>
      <c r="C237" s="51"/>
      <c r="D237" s="182"/>
      <c r="E237" s="90">
        <v>10031.0</v>
      </c>
      <c r="F237" s="53">
        <v>225.0</v>
      </c>
      <c r="G237" s="80"/>
      <c r="H237" s="160">
        <v>45413.0</v>
      </c>
      <c r="I237" s="58" t="b">
        <v>1</v>
      </c>
      <c r="J237" s="60" t="b">
        <v>1</v>
      </c>
      <c r="K237" s="159">
        <f t="shared" si="1"/>
        <v>45597</v>
      </c>
      <c r="L237" s="54" t="s">
        <v>36</v>
      </c>
    </row>
    <row r="238">
      <c r="A238" s="29">
        <v>236.0</v>
      </c>
      <c r="B238" s="42" t="s">
        <v>942</v>
      </c>
      <c r="C238" s="51"/>
      <c r="D238" s="182"/>
      <c r="E238" s="90">
        <v>10032.0</v>
      </c>
      <c r="F238" s="53">
        <v>225.0</v>
      </c>
      <c r="G238" s="80"/>
      <c r="H238" s="160">
        <v>45417.0</v>
      </c>
      <c r="I238" s="58" t="b">
        <v>1</v>
      </c>
      <c r="J238" s="60" t="b">
        <v>1</v>
      </c>
      <c r="K238" s="159">
        <f t="shared" si="1"/>
        <v>45601</v>
      </c>
      <c r="L238" s="54" t="s">
        <v>36</v>
      </c>
    </row>
    <row r="239">
      <c r="A239" s="29">
        <v>237.0</v>
      </c>
      <c r="B239" s="42" t="s">
        <v>943</v>
      </c>
      <c r="C239" s="51"/>
      <c r="D239" s="182"/>
      <c r="E239" s="90">
        <v>10033.0</v>
      </c>
      <c r="F239" s="53">
        <v>225.0</v>
      </c>
      <c r="G239" s="80"/>
      <c r="H239" s="160">
        <v>45418.0</v>
      </c>
      <c r="I239" s="58" t="b">
        <v>1</v>
      </c>
      <c r="J239" s="60" t="b">
        <v>1</v>
      </c>
      <c r="K239" s="159">
        <f t="shared" si="1"/>
        <v>45602</v>
      </c>
      <c r="L239" s="54" t="s">
        <v>36</v>
      </c>
    </row>
    <row r="240">
      <c r="A240" s="29">
        <v>238.0</v>
      </c>
      <c r="B240" s="42" t="s">
        <v>945</v>
      </c>
      <c r="C240" s="51"/>
      <c r="D240" s="182"/>
      <c r="E240" s="90">
        <v>10034.0</v>
      </c>
      <c r="F240" s="53">
        <v>225.0</v>
      </c>
      <c r="G240" s="80"/>
      <c r="H240" s="55">
        <v>45423.0</v>
      </c>
      <c r="I240" s="58" t="b">
        <v>1</v>
      </c>
      <c r="J240" s="113" t="b">
        <v>0</v>
      </c>
      <c r="K240" s="159">
        <f t="shared" si="1"/>
        <v>45607</v>
      </c>
      <c r="L240" s="54" t="s">
        <v>36</v>
      </c>
    </row>
    <row r="241">
      <c r="A241" s="29">
        <v>239.0</v>
      </c>
      <c r="B241" s="42" t="s">
        <v>946</v>
      </c>
      <c r="C241" s="51"/>
      <c r="D241" s="182"/>
      <c r="E241" s="90">
        <v>10035.0</v>
      </c>
      <c r="F241" s="53">
        <v>225.0</v>
      </c>
      <c r="G241" s="80"/>
      <c r="H241" s="160">
        <v>45423.0</v>
      </c>
      <c r="I241" s="58" t="b">
        <v>1</v>
      </c>
      <c r="J241" s="60" t="b">
        <v>1</v>
      </c>
      <c r="K241" s="159">
        <f t="shared" si="1"/>
        <v>45607</v>
      </c>
      <c r="L241" s="54" t="s">
        <v>36</v>
      </c>
    </row>
    <row r="242">
      <c r="A242" s="29">
        <v>240.0</v>
      </c>
      <c r="B242" s="42" t="s">
        <v>948</v>
      </c>
      <c r="C242" s="51"/>
      <c r="D242" s="182"/>
      <c r="E242" s="90">
        <v>10036.0</v>
      </c>
      <c r="F242" s="53">
        <v>225.0</v>
      </c>
      <c r="G242" s="80"/>
      <c r="H242" s="55">
        <v>45427.0</v>
      </c>
      <c r="I242" s="58" t="b">
        <v>1</v>
      </c>
      <c r="J242" s="113" t="b">
        <v>0</v>
      </c>
      <c r="K242" s="159">
        <f t="shared" si="1"/>
        <v>45611</v>
      </c>
      <c r="L242" s="54" t="s">
        <v>36</v>
      </c>
    </row>
    <row r="243">
      <c r="A243" s="29">
        <v>241.0</v>
      </c>
      <c r="B243" s="42" t="s">
        <v>949</v>
      </c>
      <c r="C243" s="51"/>
      <c r="D243" s="182"/>
      <c r="E243" s="90">
        <v>10037.0</v>
      </c>
      <c r="F243" s="53">
        <v>225.0</v>
      </c>
      <c r="G243" s="42" t="s">
        <v>950</v>
      </c>
      <c r="H243" s="55">
        <v>45427.0</v>
      </c>
      <c r="I243" s="58" t="b">
        <v>1</v>
      </c>
      <c r="J243" s="113" t="b">
        <v>0</v>
      </c>
      <c r="K243" s="159">
        <f t="shared" si="1"/>
        <v>45611</v>
      </c>
      <c r="L243" s="54" t="s">
        <v>36</v>
      </c>
    </row>
    <row r="244">
      <c r="A244" s="29">
        <v>242.0</v>
      </c>
      <c r="B244" s="42" t="s">
        <v>952</v>
      </c>
      <c r="C244" s="51"/>
      <c r="D244" s="182"/>
      <c r="E244" s="90">
        <v>10038.0</v>
      </c>
      <c r="F244" s="53">
        <v>225.0</v>
      </c>
      <c r="G244" s="42" t="s">
        <v>953</v>
      </c>
      <c r="H244" s="55">
        <v>45427.0</v>
      </c>
      <c r="I244" s="58" t="b">
        <v>1</v>
      </c>
      <c r="J244" s="60" t="b">
        <v>1</v>
      </c>
      <c r="K244" s="159">
        <f t="shared" si="1"/>
        <v>45611</v>
      </c>
      <c r="L244" s="54" t="s">
        <v>36</v>
      </c>
    </row>
    <row r="245">
      <c r="A245" s="29">
        <v>243.0</v>
      </c>
      <c r="B245" s="42" t="s">
        <v>954</v>
      </c>
      <c r="C245" s="51"/>
      <c r="D245" s="182"/>
      <c r="E245" s="90">
        <v>10039.0</v>
      </c>
      <c r="F245" s="53">
        <v>225.0</v>
      </c>
      <c r="G245" s="42" t="s">
        <v>955</v>
      </c>
      <c r="H245" s="160">
        <v>45428.0</v>
      </c>
      <c r="I245" s="58" t="b">
        <v>1</v>
      </c>
      <c r="J245" s="60" t="b">
        <v>1</v>
      </c>
      <c r="K245" s="159">
        <f t="shared" si="1"/>
        <v>45612</v>
      </c>
      <c r="L245" s="54" t="s">
        <v>36</v>
      </c>
    </row>
    <row r="246">
      <c r="A246" s="29">
        <v>244.0</v>
      </c>
      <c r="B246" s="42" t="s">
        <v>957</v>
      </c>
      <c r="C246" s="51"/>
      <c r="D246" s="182"/>
      <c r="E246" s="90">
        <v>10040.0</v>
      </c>
      <c r="F246" s="53">
        <v>225.0</v>
      </c>
      <c r="G246" s="42" t="s">
        <v>958</v>
      </c>
      <c r="H246" s="55">
        <v>45428.0</v>
      </c>
      <c r="I246" s="58" t="b">
        <v>1</v>
      </c>
      <c r="J246" s="113" t="b">
        <v>0</v>
      </c>
      <c r="K246" s="159">
        <f t="shared" si="1"/>
        <v>45612</v>
      </c>
      <c r="L246" s="54" t="s">
        <v>36</v>
      </c>
    </row>
    <row r="247">
      <c r="A247" s="29">
        <v>245.0</v>
      </c>
      <c r="B247" s="42" t="s">
        <v>959</v>
      </c>
      <c r="C247" s="51"/>
      <c r="D247" s="156"/>
      <c r="E247" s="90">
        <v>10041.0</v>
      </c>
      <c r="F247" s="53">
        <v>225.0</v>
      </c>
      <c r="G247" s="80"/>
      <c r="H247" s="55">
        <v>45432.0</v>
      </c>
      <c r="I247" s="58" t="b">
        <v>1</v>
      </c>
      <c r="J247" s="113" t="b">
        <v>0</v>
      </c>
      <c r="K247" s="159">
        <f t="shared" si="1"/>
        <v>45616</v>
      </c>
      <c r="L247" s="54" t="s">
        <v>36</v>
      </c>
    </row>
    <row r="248">
      <c r="A248" s="29">
        <v>246.0</v>
      </c>
      <c r="B248" s="42" t="s">
        <v>961</v>
      </c>
      <c r="C248" s="51"/>
      <c r="D248" s="156"/>
      <c r="E248" s="90">
        <v>10042.0</v>
      </c>
      <c r="F248" s="53">
        <v>225.0</v>
      </c>
      <c r="G248" s="80"/>
      <c r="H248" s="160">
        <v>45435.0</v>
      </c>
      <c r="I248" s="58" t="b">
        <v>1</v>
      </c>
      <c r="J248" s="60" t="b">
        <v>1</v>
      </c>
      <c r="K248" s="159">
        <f t="shared" si="1"/>
        <v>45619</v>
      </c>
      <c r="L248" s="54" t="s">
        <v>36</v>
      </c>
    </row>
    <row r="249">
      <c r="A249" s="29">
        <v>247.0</v>
      </c>
      <c r="B249" s="42" t="s">
        <v>962</v>
      </c>
      <c r="C249" s="51"/>
      <c r="D249" s="156"/>
      <c r="E249" s="90">
        <v>10043.0</v>
      </c>
      <c r="F249" s="53">
        <v>225.0</v>
      </c>
      <c r="G249" s="80"/>
      <c r="H249" s="160">
        <v>45440.0</v>
      </c>
      <c r="I249" s="58" t="b">
        <v>1</v>
      </c>
      <c r="J249" s="60" t="b">
        <v>1</v>
      </c>
      <c r="K249" s="159">
        <f t="shared" si="1"/>
        <v>45624</v>
      </c>
      <c r="L249" s="54" t="s">
        <v>36</v>
      </c>
    </row>
    <row r="250">
      <c r="A250" s="29">
        <v>248.0</v>
      </c>
      <c r="B250" s="42" t="s">
        <v>964</v>
      </c>
      <c r="C250" s="51"/>
      <c r="D250" s="156"/>
      <c r="E250" s="90">
        <v>10044.0</v>
      </c>
      <c r="F250" s="53">
        <v>225.0</v>
      </c>
      <c r="G250" s="80"/>
      <c r="H250" s="160">
        <v>45444.0</v>
      </c>
      <c r="I250" s="58" t="b">
        <v>1</v>
      </c>
      <c r="J250" s="60" t="b">
        <v>1</v>
      </c>
      <c r="K250" s="159">
        <f t="shared" si="1"/>
        <v>45627</v>
      </c>
      <c r="L250" s="54" t="s">
        <v>36</v>
      </c>
    </row>
    <row r="251">
      <c r="A251" s="29">
        <v>249.0</v>
      </c>
      <c r="B251" s="42" t="s">
        <v>965</v>
      </c>
      <c r="C251" s="51"/>
      <c r="D251" s="156"/>
      <c r="E251" s="90">
        <v>10045.0</v>
      </c>
      <c r="F251" s="53">
        <v>225.0</v>
      </c>
      <c r="G251" s="80"/>
      <c r="H251" s="160">
        <v>45446.0</v>
      </c>
      <c r="I251" s="58" t="b">
        <v>1</v>
      </c>
      <c r="J251" s="60" t="b">
        <v>1</v>
      </c>
      <c r="K251" s="159">
        <f t="shared" si="1"/>
        <v>45629</v>
      </c>
      <c r="L251" s="54" t="s">
        <v>36</v>
      </c>
    </row>
    <row r="252">
      <c r="A252" s="29">
        <v>250.0</v>
      </c>
      <c r="B252" s="42" t="s">
        <v>967</v>
      </c>
      <c r="C252" s="51"/>
      <c r="D252" s="156"/>
      <c r="E252" s="90">
        <v>10046.0</v>
      </c>
      <c r="F252" s="53">
        <v>225.0</v>
      </c>
      <c r="G252" s="80"/>
      <c r="H252" s="160">
        <v>45446.0</v>
      </c>
      <c r="I252" s="58" t="b">
        <v>1</v>
      </c>
      <c r="J252" s="60" t="b">
        <v>1</v>
      </c>
      <c r="K252" s="159">
        <f t="shared" si="1"/>
        <v>45629</v>
      </c>
      <c r="L252" s="54" t="s">
        <v>36</v>
      </c>
    </row>
    <row r="253">
      <c r="A253" s="29">
        <v>251.0</v>
      </c>
      <c r="B253" s="42" t="s">
        <v>968</v>
      </c>
      <c r="C253" s="51"/>
      <c r="D253" s="156"/>
      <c r="E253" s="90">
        <v>10047.0</v>
      </c>
      <c r="F253" s="53">
        <v>225.0</v>
      </c>
      <c r="G253" s="80"/>
      <c r="H253" s="160">
        <v>45454.0</v>
      </c>
      <c r="I253" s="58" t="b">
        <v>1</v>
      </c>
      <c r="J253" s="60" t="b">
        <v>1</v>
      </c>
      <c r="K253" s="159">
        <f t="shared" si="1"/>
        <v>45637</v>
      </c>
      <c r="L253" s="54" t="s">
        <v>36</v>
      </c>
    </row>
    <row r="254">
      <c r="A254" s="29">
        <v>252.0</v>
      </c>
      <c r="B254" s="42" t="s">
        <v>970</v>
      </c>
      <c r="C254" s="51"/>
      <c r="D254" s="156"/>
      <c r="E254" s="90">
        <v>10048.0</v>
      </c>
      <c r="F254" s="53">
        <v>225.0</v>
      </c>
      <c r="G254" s="80"/>
      <c r="H254" s="55">
        <v>45456.0</v>
      </c>
      <c r="I254" s="58" t="b">
        <v>1</v>
      </c>
      <c r="J254" s="113" t="b">
        <v>0</v>
      </c>
      <c r="K254" s="159">
        <f t="shared" si="1"/>
        <v>45639</v>
      </c>
      <c r="L254" s="54" t="s">
        <v>36</v>
      </c>
    </row>
    <row r="255">
      <c r="A255" s="29">
        <v>253.0</v>
      </c>
      <c r="B255" s="42" t="s">
        <v>972</v>
      </c>
      <c r="C255" s="51"/>
      <c r="D255" s="156"/>
      <c r="E255" s="90">
        <v>10049.0</v>
      </c>
      <c r="F255" s="53">
        <v>225.0</v>
      </c>
      <c r="G255" s="80"/>
      <c r="H255" s="160">
        <v>45459.0</v>
      </c>
      <c r="I255" s="58" t="b">
        <v>1</v>
      </c>
      <c r="J255" s="60" t="b">
        <v>1</v>
      </c>
      <c r="K255" s="159">
        <f t="shared" si="1"/>
        <v>45642</v>
      </c>
      <c r="L255" s="54" t="s">
        <v>36</v>
      </c>
    </row>
    <row r="256">
      <c r="A256" s="29">
        <v>254.0</v>
      </c>
      <c r="B256" s="42" t="s">
        <v>974</v>
      </c>
      <c r="C256" s="51"/>
      <c r="D256" s="156"/>
      <c r="E256" s="90">
        <v>10050.0</v>
      </c>
      <c r="F256" s="53">
        <v>225.0</v>
      </c>
      <c r="G256" s="80"/>
      <c r="H256" s="183">
        <v>45460.0</v>
      </c>
      <c r="I256" s="58" t="b">
        <v>1</v>
      </c>
      <c r="J256" s="60" t="b">
        <v>1</v>
      </c>
      <c r="K256" s="159">
        <f t="shared" si="1"/>
        <v>45643</v>
      </c>
      <c r="L256" s="54" t="s">
        <v>36</v>
      </c>
    </row>
    <row r="257">
      <c r="A257" s="29">
        <v>255.0</v>
      </c>
      <c r="B257" s="42" t="s">
        <v>975</v>
      </c>
      <c r="C257" s="51"/>
      <c r="D257" s="156"/>
      <c r="E257" s="90">
        <v>10051.0</v>
      </c>
      <c r="F257" s="53">
        <v>225.0</v>
      </c>
      <c r="G257" s="80"/>
      <c r="H257" s="160">
        <v>45460.0</v>
      </c>
      <c r="I257" s="58" t="b">
        <v>1</v>
      </c>
      <c r="J257" s="60" t="b">
        <v>1</v>
      </c>
      <c r="K257" s="159">
        <f t="shared" si="1"/>
        <v>45643</v>
      </c>
      <c r="L257" s="54" t="s">
        <v>36</v>
      </c>
    </row>
    <row r="258">
      <c r="A258" s="29">
        <v>256.0</v>
      </c>
      <c r="B258" s="42" t="s">
        <v>977</v>
      </c>
      <c r="C258" s="51"/>
      <c r="D258" s="156"/>
      <c r="E258" s="90">
        <v>10052.0</v>
      </c>
      <c r="F258" s="53">
        <v>225.0</v>
      </c>
      <c r="G258" s="42" t="s">
        <v>978</v>
      </c>
      <c r="H258" s="160">
        <v>45463.0</v>
      </c>
      <c r="I258" s="58" t="b">
        <v>1</v>
      </c>
      <c r="J258" s="60" t="b">
        <v>1</v>
      </c>
      <c r="K258" s="159">
        <f t="shared" si="1"/>
        <v>45646</v>
      </c>
      <c r="L258" s="54" t="s">
        <v>36</v>
      </c>
    </row>
    <row r="259">
      <c r="A259" s="29">
        <v>257.0</v>
      </c>
      <c r="B259" s="42" t="s">
        <v>979</v>
      </c>
      <c r="C259" s="51"/>
      <c r="D259" s="156"/>
      <c r="E259" s="90">
        <v>10053.0</v>
      </c>
      <c r="F259" s="53">
        <v>225.0</v>
      </c>
      <c r="G259" s="80"/>
      <c r="H259" s="160">
        <v>45464.0</v>
      </c>
      <c r="I259" s="58" t="b">
        <v>1</v>
      </c>
      <c r="J259" s="60" t="b">
        <v>1</v>
      </c>
      <c r="K259" s="159">
        <f t="shared" si="1"/>
        <v>45647</v>
      </c>
      <c r="L259" s="54" t="s">
        <v>36</v>
      </c>
    </row>
    <row r="260">
      <c r="A260" s="29">
        <v>258.0</v>
      </c>
      <c r="B260" s="42" t="s">
        <v>981</v>
      </c>
      <c r="C260" s="51"/>
      <c r="D260" s="156"/>
      <c r="E260" s="90">
        <v>10054.0</v>
      </c>
      <c r="F260" s="53">
        <v>225.0</v>
      </c>
      <c r="G260" s="80"/>
      <c r="H260" s="55">
        <v>45464.0</v>
      </c>
      <c r="I260" s="58" t="b">
        <v>1</v>
      </c>
      <c r="J260" s="60" t="b">
        <v>0</v>
      </c>
      <c r="K260" s="159">
        <f t="shared" si="1"/>
        <v>45647</v>
      </c>
      <c r="L260" s="54" t="s">
        <v>36</v>
      </c>
    </row>
    <row r="261">
      <c r="A261" s="29">
        <v>259.0</v>
      </c>
      <c r="B261" s="42" t="s">
        <v>982</v>
      </c>
      <c r="C261" s="51"/>
      <c r="D261" s="156"/>
      <c r="E261" s="90">
        <v>10055.0</v>
      </c>
      <c r="F261" s="53">
        <v>225.0</v>
      </c>
      <c r="G261" s="80"/>
      <c r="H261" s="160">
        <v>45465.0</v>
      </c>
      <c r="I261" s="58" t="b">
        <v>1</v>
      </c>
      <c r="J261" s="60" t="b">
        <v>1</v>
      </c>
      <c r="K261" s="159">
        <f t="shared" si="1"/>
        <v>45648</v>
      </c>
      <c r="L261" s="54" t="s">
        <v>36</v>
      </c>
    </row>
    <row r="262">
      <c r="A262" s="29">
        <v>260.0</v>
      </c>
      <c r="B262" s="42" t="s">
        <v>984</v>
      </c>
      <c r="C262" s="51"/>
      <c r="D262" s="156"/>
      <c r="E262" s="90">
        <v>10056.0</v>
      </c>
      <c r="F262" s="53">
        <v>225.0</v>
      </c>
      <c r="G262" s="80"/>
      <c r="H262" s="160">
        <v>45467.0</v>
      </c>
      <c r="I262" s="58" t="b">
        <v>1</v>
      </c>
      <c r="J262" s="60" t="b">
        <v>1</v>
      </c>
      <c r="K262" s="159">
        <f t="shared" si="1"/>
        <v>45650</v>
      </c>
      <c r="L262" s="54" t="s">
        <v>36</v>
      </c>
    </row>
    <row r="263">
      <c r="A263" s="29">
        <v>261.0</v>
      </c>
      <c r="B263" s="42" t="s">
        <v>986</v>
      </c>
      <c r="C263" s="51"/>
      <c r="D263" s="156"/>
      <c r="E263" s="90">
        <v>10057.0</v>
      </c>
      <c r="F263" s="53">
        <v>225.0</v>
      </c>
      <c r="G263" s="80"/>
      <c r="H263" s="160">
        <v>45468.0</v>
      </c>
      <c r="I263" s="58" t="b">
        <v>1</v>
      </c>
      <c r="J263" s="60" t="b">
        <v>1</v>
      </c>
      <c r="K263" s="159">
        <f t="shared" si="1"/>
        <v>45651</v>
      </c>
      <c r="L263" s="54" t="s">
        <v>36</v>
      </c>
    </row>
    <row r="264">
      <c r="A264" s="29">
        <v>262.0</v>
      </c>
      <c r="B264" s="42" t="s">
        <v>987</v>
      </c>
      <c r="C264" s="51"/>
      <c r="D264" s="156"/>
      <c r="E264" s="90">
        <v>10058.0</v>
      </c>
      <c r="F264" s="53">
        <v>225.0</v>
      </c>
      <c r="G264" s="80"/>
      <c r="H264" s="184">
        <v>45475.0</v>
      </c>
      <c r="I264" s="112" t="b">
        <v>0</v>
      </c>
      <c r="J264" s="60" t="b">
        <v>1</v>
      </c>
      <c r="K264" s="159">
        <f t="shared" si="1"/>
        <v>45659</v>
      </c>
      <c r="L264" s="54" t="s">
        <v>36</v>
      </c>
    </row>
    <row r="265">
      <c r="A265" s="29">
        <v>263.0</v>
      </c>
      <c r="B265" s="42" t="s">
        <v>989</v>
      </c>
      <c r="C265" s="51"/>
      <c r="D265" s="156"/>
      <c r="E265" s="90">
        <v>10059.0</v>
      </c>
      <c r="F265" s="53">
        <v>225.0</v>
      </c>
      <c r="G265" s="80"/>
      <c r="H265" s="184">
        <v>45475.0</v>
      </c>
      <c r="I265" s="112" t="b">
        <v>0</v>
      </c>
      <c r="J265" s="60" t="b">
        <v>1</v>
      </c>
      <c r="K265" s="159">
        <f t="shared" si="1"/>
        <v>45659</v>
      </c>
      <c r="L265" s="54" t="s">
        <v>36</v>
      </c>
    </row>
    <row r="266">
      <c r="A266" s="29">
        <v>264.0</v>
      </c>
      <c r="B266" s="42" t="s">
        <v>991</v>
      </c>
      <c r="C266" s="51"/>
      <c r="D266" s="156"/>
      <c r="E266" s="90">
        <v>10060.0</v>
      </c>
      <c r="F266" s="53">
        <v>225.0</v>
      </c>
      <c r="G266" s="80"/>
      <c r="H266" s="184">
        <v>45476.0</v>
      </c>
      <c r="I266" s="58" t="b">
        <v>1</v>
      </c>
      <c r="J266" s="60" t="b">
        <v>1</v>
      </c>
      <c r="K266" s="159">
        <f t="shared" si="1"/>
        <v>45660</v>
      </c>
      <c r="L266" s="54" t="s">
        <v>36</v>
      </c>
    </row>
    <row r="267">
      <c r="A267" s="29">
        <v>265.0</v>
      </c>
      <c r="B267" s="42" t="s">
        <v>994</v>
      </c>
      <c r="C267" s="51"/>
      <c r="D267" s="156"/>
      <c r="E267" s="90">
        <v>10061.0</v>
      </c>
      <c r="F267" s="53">
        <v>225.0</v>
      </c>
      <c r="G267" s="80"/>
      <c r="H267" s="55">
        <v>45482.0</v>
      </c>
      <c r="I267" s="58" t="b">
        <v>1</v>
      </c>
      <c r="J267" s="113" t="b">
        <v>0</v>
      </c>
      <c r="K267" s="159">
        <f t="shared" si="1"/>
        <v>45666</v>
      </c>
      <c r="L267" s="54" t="s">
        <v>36</v>
      </c>
    </row>
    <row r="268">
      <c r="A268" s="29">
        <v>266.0</v>
      </c>
      <c r="B268" s="42" t="s">
        <v>813</v>
      </c>
      <c r="C268" s="51"/>
      <c r="D268" s="156"/>
      <c r="E268" s="90">
        <v>10063.0</v>
      </c>
      <c r="F268" s="53">
        <v>225.0</v>
      </c>
      <c r="G268" s="80"/>
      <c r="H268" s="160">
        <v>45482.0</v>
      </c>
      <c r="I268" s="58" t="b">
        <v>1</v>
      </c>
      <c r="J268" s="60" t="b">
        <v>1</v>
      </c>
      <c r="K268" s="159">
        <f t="shared" si="1"/>
        <v>45666</v>
      </c>
      <c r="L268" s="54" t="s">
        <v>36</v>
      </c>
    </row>
    <row r="269">
      <c r="A269" s="29">
        <v>267.0</v>
      </c>
      <c r="B269" s="42" t="s">
        <v>998</v>
      </c>
      <c r="C269" s="51"/>
      <c r="D269" s="156"/>
      <c r="E269" s="90">
        <v>10064.0</v>
      </c>
      <c r="F269" s="53">
        <v>225.0</v>
      </c>
      <c r="G269" s="80"/>
      <c r="H269" s="55">
        <v>45488.0</v>
      </c>
      <c r="I269" s="58" t="b">
        <v>1</v>
      </c>
      <c r="J269" s="60" t="b">
        <v>0</v>
      </c>
      <c r="K269" s="159">
        <f t="shared" si="1"/>
        <v>45672</v>
      </c>
      <c r="L269" s="54" t="s">
        <v>36</v>
      </c>
    </row>
    <row r="270">
      <c r="A270" s="29">
        <v>268.0</v>
      </c>
      <c r="B270" s="42" t="s">
        <v>1000</v>
      </c>
      <c r="C270" s="51"/>
      <c r="D270" s="156"/>
      <c r="E270" s="90">
        <v>10065.0</v>
      </c>
      <c r="F270" s="53">
        <v>225.0</v>
      </c>
      <c r="G270" s="80"/>
      <c r="H270" s="160">
        <v>45491.0</v>
      </c>
      <c r="I270" s="58" t="b">
        <v>1</v>
      </c>
      <c r="J270" s="60" t="b">
        <v>1</v>
      </c>
      <c r="K270" s="159">
        <f t="shared" si="1"/>
        <v>45675</v>
      </c>
      <c r="L270" s="54" t="s">
        <v>36</v>
      </c>
    </row>
    <row r="271">
      <c r="A271" s="29">
        <v>269.0</v>
      </c>
      <c r="B271" s="42" t="s">
        <v>1002</v>
      </c>
      <c r="C271" s="51"/>
      <c r="D271" s="156"/>
      <c r="E271" s="90">
        <v>10066.0</v>
      </c>
      <c r="F271" s="53">
        <v>225.0</v>
      </c>
      <c r="G271" s="80"/>
      <c r="H271" s="160">
        <v>45492.0</v>
      </c>
      <c r="I271" s="58" t="b">
        <v>1</v>
      </c>
      <c r="J271" s="60" t="b">
        <v>1</v>
      </c>
      <c r="K271" s="159">
        <f t="shared" si="1"/>
        <v>45676</v>
      </c>
      <c r="L271" s="54" t="s">
        <v>36</v>
      </c>
    </row>
    <row r="272">
      <c r="A272" s="29">
        <v>270.0</v>
      </c>
      <c r="B272" s="42" t="s">
        <v>1003</v>
      </c>
      <c r="C272" s="51"/>
      <c r="D272" s="156"/>
      <c r="E272" s="90">
        <v>10067.0</v>
      </c>
      <c r="F272" s="53">
        <v>225.0</v>
      </c>
      <c r="G272" s="80"/>
      <c r="H272" s="160">
        <v>45493.0</v>
      </c>
      <c r="I272" s="58" t="b">
        <v>1</v>
      </c>
      <c r="J272" s="60" t="b">
        <v>1</v>
      </c>
      <c r="K272" s="159">
        <f t="shared" si="1"/>
        <v>45677</v>
      </c>
      <c r="L272" s="54" t="s">
        <v>36</v>
      </c>
    </row>
    <row r="273">
      <c r="A273" s="29">
        <v>271.0</v>
      </c>
      <c r="B273" s="42" t="s">
        <v>1005</v>
      </c>
      <c r="C273" s="51"/>
      <c r="D273" s="156"/>
      <c r="E273" s="90">
        <v>10068.0</v>
      </c>
      <c r="F273" s="53">
        <v>225.0</v>
      </c>
      <c r="G273" s="80"/>
      <c r="H273" s="160">
        <v>45495.0</v>
      </c>
      <c r="I273" s="58" t="b">
        <v>1</v>
      </c>
      <c r="J273" s="60" t="b">
        <v>1</v>
      </c>
      <c r="K273" s="159">
        <f t="shared" si="1"/>
        <v>45679</v>
      </c>
      <c r="L273" s="54" t="s">
        <v>36</v>
      </c>
    </row>
    <row r="274">
      <c r="A274" s="29">
        <v>272.0</v>
      </c>
      <c r="B274" s="42" t="s">
        <v>1006</v>
      </c>
      <c r="C274" s="51"/>
      <c r="D274" s="156"/>
      <c r="E274" s="90">
        <v>10069.0</v>
      </c>
      <c r="F274" s="53">
        <v>225.0</v>
      </c>
      <c r="G274" s="80"/>
      <c r="H274" s="160">
        <v>45495.0</v>
      </c>
      <c r="I274" s="58" t="b">
        <v>1</v>
      </c>
      <c r="J274" s="60" t="b">
        <v>1</v>
      </c>
      <c r="K274" s="159">
        <f t="shared" si="1"/>
        <v>45679</v>
      </c>
      <c r="L274" s="54" t="s">
        <v>36</v>
      </c>
    </row>
    <row r="275">
      <c r="A275" s="29">
        <v>273.0</v>
      </c>
      <c r="B275" s="42" t="s">
        <v>998</v>
      </c>
      <c r="C275" s="51"/>
      <c r="D275" s="156"/>
      <c r="E275" s="90">
        <v>10070.0</v>
      </c>
      <c r="F275" s="53">
        <v>225.0</v>
      </c>
      <c r="G275" s="80"/>
      <c r="H275" s="55">
        <v>45496.0</v>
      </c>
      <c r="I275" s="58" t="b">
        <v>1</v>
      </c>
      <c r="J275" s="60" t="b">
        <v>0</v>
      </c>
      <c r="K275" s="159">
        <f t="shared" si="1"/>
        <v>45680</v>
      </c>
      <c r="L275" s="54" t="s">
        <v>36</v>
      </c>
    </row>
    <row r="276">
      <c r="A276" s="29">
        <v>274.0</v>
      </c>
      <c r="B276" s="42" t="s">
        <v>1008</v>
      </c>
      <c r="C276" s="51"/>
      <c r="D276" s="156"/>
      <c r="E276" s="90">
        <v>10071.0</v>
      </c>
      <c r="F276" s="53">
        <v>225.0</v>
      </c>
      <c r="G276" s="80"/>
      <c r="H276" s="55">
        <v>45497.0</v>
      </c>
      <c r="I276" s="58" t="b">
        <v>1</v>
      </c>
      <c r="J276" s="60" t="b">
        <v>1</v>
      </c>
      <c r="K276" s="159">
        <f t="shared" si="1"/>
        <v>45681</v>
      </c>
      <c r="L276" s="54" t="s">
        <v>36</v>
      </c>
    </row>
    <row r="277">
      <c r="A277" s="29">
        <v>275.0</v>
      </c>
      <c r="B277" s="42" t="s">
        <v>1009</v>
      </c>
      <c r="C277" s="51"/>
      <c r="D277" s="156"/>
      <c r="E277" s="90">
        <v>10072.0</v>
      </c>
      <c r="F277" s="53">
        <v>225.0</v>
      </c>
      <c r="G277" s="80"/>
      <c r="H277" s="55">
        <v>45499.0</v>
      </c>
      <c r="I277" s="58" t="b">
        <v>1</v>
      </c>
      <c r="J277" s="60" t="b">
        <v>1</v>
      </c>
      <c r="K277" s="159">
        <f t="shared" si="1"/>
        <v>45683</v>
      </c>
      <c r="L277" s="54" t="s">
        <v>36</v>
      </c>
    </row>
    <row r="278">
      <c r="A278" s="29">
        <v>276.0</v>
      </c>
      <c r="B278" s="42" t="s">
        <v>1010</v>
      </c>
      <c r="C278" s="51"/>
      <c r="D278" s="156"/>
      <c r="E278" s="90">
        <v>10073.0</v>
      </c>
      <c r="F278" s="53">
        <v>225.0</v>
      </c>
      <c r="G278" s="80"/>
      <c r="H278" s="160">
        <v>45501.0</v>
      </c>
      <c r="I278" s="58" t="b">
        <v>1</v>
      </c>
      <c r="J278" s="60" t="b">
        <v>1</v>
      </c>
      <c r="K278" s="159">
        <f t="shared" si="1"/>
        <v>45685</v>
      </c>
      <c r="L278" s="54" t="s">
        <v>36</v>
      </c>
    </row>
    <row r="279">
      <c r="A279" s="29">
        <v>277.0</v>
      </c>
      <c r="B279" s="42" t="s">
        <v>1012</v>
      </c>
      <c r="C279" s="51"/>
      <c r="D279" s="156"/>
      <c r="E279" s="90">
        <v>10074.0</v>
      </c>
      <c r="F279" s="53">
        <v>225.0</v>
      </c>
      <c r="G279" s="80"/>
      <c r="H279" s="160">
        <v>45501.0</v>
      </c>
      <c r="I279" s="58" t="b">
        <v>1</v>
      </c>
      <c r="J279" s="60" t="b">
        <v>1</v>
      </c>
      <c r="K279" s="159">
        <f t="shared" si="1"/>
        <v>45685</v>
      </c>
      <c r="L279" s="54" t="s">
        <v>36</v>
      </c>
    </row>
    <row r="280">
      <c r="A280" s="29">
        <v>278.0</v>
      </c>
      <c r="B280" s="42" t="s">
        <v>1014</v>
      </c>
      <c r="C280" s="51"/>
      <c r="D280" s="156"/>
      <c r="E280" s="90">
        <v>10075.0</v>
      </c>
      <c r="F280" s="53">
        <v>225.0</v>
      </c>
      <c r="G280" s="80"/>
      <c r="H280" s="160">
        <v>45503.0</v>
      </c>
      <c r="I280" s="58" t="b">
        <v>1</v>
      </c>
      <c r="J280" s="60" t="b">
        <v>1</v>
      </c>
      <c r="K280" s="159">
        <f t="shared" si="1"/>
        <v>45687</v>
      </c>
      <c r="L280" s="54" t="s">
        <v>36</v>
      </c>
    </row>
    <row r="281">
      <c r="A281" s="29">
        <v>279.0</v>
      </c>
      <c r="B281" s="42" t="s">
        <v>1017</v>
      </c>
      <c r="C281" s="51"/>
      <c r="D281" s="156"/>
      <c r="E281" s="90">
        <v>10076.0</v>
      </c>
      <c r="F281" s="53">
        <v>225.0</v>
      </c>
      <c r="G281" s="80"/>
      <c r="H281" s="55">
        <v>45512.0</v>
      </c>
      <c r="I281" s="58" t="b">
        <v>1</v>
      </c>
      <c r="J281" s="60" t="b">
        <v>1</v>
      </c>
      <c r="K281" s="159">
        <f t="shared" si="1"/>
        <v>45696</v>
      </c>
      <c r="L281" s="54" t="s">
        <v>36</v>
      </c>
    </row>
    <row r="282">
      <c r="A282" s="29">
        <v>280.0</v>
      </c>
      <c r="B282" s="42" t="s">
        <v>1018</v>
      </c>
      <c r="C282" s="51"/>
      <c r="D282" s="156"/>
      <c r="E282" s="90">
        <v>10077.0</v>
      </c>
      <c r="F282" s="53">
        <v>225.0</v>
      </c>
      <c r="G282" s="42" t="s">
        <v>1020</v>
      </c>
      <c r="H282" s="55">
        <v>45513.0</v>
      </c>
      <c r="I282" s="58" t="b">
        <v>1</v>
      </c>
      <c r="J282" s="60" t="b">
        <v>1</v>
      </c>
      <c r="K282" s="159">
        <f t="shared" si="1"/>
        <v>45697</v>
      </c>
      <c r="L282" s="54" t="s">
        <v>36</v>
      </c>
    </row>
    <row r="283">
      <c r="A283" s="29">
        <v>281.0</v>
      </c>
      <c r="B283" s="42" t="s">
        <v>1021</v>
      </c>
      <c r="C283" s="51"/>
      <c r="D283" s="156"/>
      <c r="E283" s="90">
        <v>10078.0</v>
      </c>
      <c r="F283" s="53">
        <v>225.0</v>
      </c>
      <c r="G283" s="80"/>
      <c r="H283" s="160">
        <v>45517.0</v>
      </c>
      <c r="I283" s="58" t="b">
        <v>1</v>
      </c>
      <c r="J283" s="60" t="b">
        <v>1</v>
      </c>
      <c r="K283" s="159">
        <f t="shared" si="1"/>
        <v>45701</v>
      </c>
      <c r="L283" s="54" t="s">
        <v>36</v>
      </c>
    </row>
    <row r="284">
      <c r="A284" s="29">
        <v>282.0</v>
      </c>
      <c r="B284" s="42" t="s">
        <v>1023</v>
      </c>
      <c r="C284" s="51"/>
      <c r="D284" s="156"/>
      <c r="E284" s="90">
        <v>10079.0</v>
      </c>
      <c r="F284" s="53">
        <v>225.0</v>
      </c>
      <c r="G284" s="80"/>
      <c r="H284" s="160">
        <v>45524.0</v>
      </c>
      <c r="I284" s="58" t="b">
        <v>1</v>
      </c>
      <c r="J284" s="60" t="b">
        <v>1</v>
      </c>
      <c r="K284" s="159">
        <f t="shared" si="1"/>
        <v>45708</v>
      </c>
      <c r="L284" s="54" t="s">
        <v>36</v>
      </c>
    </row>
    <row r="285">
      <c r="A285" s="29">
        <v>283.0</v>
      </c>
      <c r="B285" s="42" t="s">
        <v>1025</v>
      </c>
      <c r="C285" s="51"/>
      <c r="D285" s="156"/>
      <c r="E285" s="90">
        <v>10080.0</v>
      </c>
      <c r="F285" s="53">
        <v>225.0</v>
      </c>
      <c r="G285" s="80"/>
      <c r="H285" s="55">
        <v>45528.0</v>
      </c>
      <c r="I285" s="58" t="b">
        <v>1</v>
      </c>
      <c r="J285" s="113" t="b">
        <v>0</v>
      </c>
      <c r="K285" s="159">
        <f t="shared" si="1"/>
        <v>45712</v>
      </c>
      <c r="L285" s="54" t="s">
        <v>36</v>
      </c>
    </row>
    <row r="286">
      <c r="A286" s="29">
        <v>284.0</v>
      </c>
      <c r="B286" s="42" t="s">
        <v>1027</v>
      </c>
      <c r="C286" s="51"/>
      <c r="D286" s="156"/>
      <c r="E286" s="90">
        <v>10081.0</v>
      </c>
      <c r="F286" s="53">
        <v>225.0</v>
      </c>
      <c r="G286" s="80"/>
      <c r="H286" s="55">
        <v>45533.0</v>
      </c>
      <c r="I286" s="58" t="b">
        <v>1</v>
      </c>
      <c r="J286" s="60" t="b">
        <v>1</v>
      </c>
      <c r="K286" s="159">
        <f t="shared" si="1"/>
        <v>45716</v>
      </c>
      <c r="L286" s="54" t="s">
        <v>36</v>
      </c>
    </row>
    <row r="287">
      <c r="A287" s="29">
        <v>285.0</v>
      </c>
      <c r="B287" s="42" t="s">
        <v>1028</v>
      </c>
      <c r="C287" s="51"/>
      <c r="D287" s="156"/>
      <c r="E287" s="90">
        <v>10082.0</v>
      </c>
      <c r="F287" s="53">
        <v>225.0</v>
      </c>
      <c r="G287" s="80"/>
      <c r="H287" s="160">
        <v>45534.0</v>
      </c>
      <c r="I287" s="58" t="b">
        <v>1</v>
      </c>
      <c r="J287" s="60" t="b">
        <v>1</v>
      </c>
      <c r="K287" s="159">
        <f t="shared" si="1"/>
        <v>45716</v>
      </c>
      <c r="L287" s="54" t="s">
        <v>36</v>
      </c>
    </row>
    <row r="288">
      <c r="A288" s="29">
        <v>286.0</v>
      </c>
      <c r="B288" s="42" t="s">
        <v>1030</v>
      </c>
      <c r="C288" s="51"/>
      <c r="D288" s="156"/>
      <c r="E288" s="90">
        <v>10083.0</v>
      </c>
      <c r="F288" s="53">
        <v>225.0</v>
      </c>
      <c r="G288" s="80"/>
      <c r="H288" s="55">
        <v>45540.0</v>
      </c>
      <c r="I288" s="58" t="b">
        <v>1</v>
      </c>
      <c r="J288" s="60" t="b">
        <v>1</v>
      </c>
      <c r="K288" s="159">
        <f t="shared" si="1"/>
        <v>45721</v>
      </c>
      <c r="L288" s="54" t="s">
        <v>36</v>
      </c>
    </row>
    <row r="289">
      <c r="A289" s="29">
        <v>287.0</v>
      </c>
      <c r="B289" s="42" t="s">
        <v>1031</v>
      </c>
      <c r="C289" s="51"/>
      <c r="D289" s="156"/>
      <c r="E289" s="90">
        <v>10084.0</v>
      </c>
      <c r="F289" s="53">
        <v>225.0</v>
      </c>
      <c r="G289" s="80"/>
      <c r="H289" s="55">
        <v>45541.0</v>
      </c>
      <c r="I289" s="58" t="b">
        <v>1</v>
      </c>
      <c r="J289" s="113" t="b">
        <v>0</v>
      </c>
      <c r="K289" s="159">
        <f t="shared" si="1"/>
        <v>45722</v>
      </c>
      <c r="L289" s="54" t="s">
        <v>36</v>
      </c>
    </row>
    <row r="290">
      <c r="A290" s="29">
        <v>288.0</v>
      </c>
      <c r="B290" s="42" t="s">
        <v>1033</v>
      </c>
      <c r="C290" s="51"/>
      <c r="D290" s="156"/>
      <c r="E290" s="90">
        <v>10085.0</v>
      </c>
      <c r="F290" s="53">
        <v>225.0</v>
      </c>
      <c r="G290" s="80"/>
      <c r="H290" s="55">
        <v>45541.0</v>
      </c>
      <c r="I290" s="58" t="b">
        <v>1</v>
      </c>
      <c r="J290" s="60" t="b">
        <v>1</v>
      </c>
      <c r="K290" s="159">
        <f t="shared" si="1"/>
        <v>45722</v>
      </c>
      <c r="L290" s="54" t="s">
        <v>36</v>
      </c>
    </row>
    <row r="291">
      <c r="A291" s="29">
        <v>289.0</v>
      </c>
      <c r="B291" s="42" t="s">
        <v>1034</v>
      </c>
      <c r="C291" s="51"/>
      <c r="D291" s="156"/>
      <c r="E291" s="90">
        <v>10086.0</v>
      </c>
      <c r="F291" s="53">
        <v>225.0</v>
      </c>
      <c r="G291" s="80"/>
      <c r="H291" s="55">
        <v>45543.0</v>
      </c>
      <c r="I291" s="58" t="b">
        <v>1</v>
      </c>
      <c r="J291" s="60" t="b">
        <v>1</v>
      </c>
      <c r="K291" s="159">
        <f t="shared" si="1"/>
        <v>45724</v>
      </c>
      <c r="L291" s="54" t="s">
        <v>36</v>
      </c>
    </row>
    <row r="292">
      <c r="A292" s="29">
        <v>290.0</v>
      </c>
      <c r="B292" s="42" t="s">
        <v>1035</v>
      </c>
      <c r="C292" s="51"/>
      <c r="D292" s="156"/>
      <c r="E292" s="90">
        <v>10087.0</v>
      </c>
      <c r="F292" s="53">
        <v>225.0</v>
      </c>
      <c r="G292" s="80"/>
      <c r="H292" s="55">
        <v>45543.0</v>
      </c>
      <c r="I292" s="58" t="b">
        <v>1</v>
      </c>
      <c r="J292" s="60" t="b">
        <v>1</v>
      </c>
      <c r="K292" s="159">
        <f t="shared" si="1"/>
        <v>45724</v>
      </c>
      <c r="L292" s="54" t="s">
        <v>36</v>
      </c>
    </row>
    <row r="293">
      <c r="A293" s="29">
        <v>291.0</v>
      </c>
      <c r="B293" s="42" t="s">
        <v>1037</v>
      </c>
      <c r="C293" s="51"/>
      <c r="D293" s="156"/>
      <c r="E293" s="90">
        <v>10088.0</v>
      </c>
      <c r="F293" s="53">
        <v>225.0</v>
      </c>
      <c r="G293" s="80"/>
      <c r="H293" s="55">
        <v>45545.0</v>
      </c>
      <c r="I293" s="58" t="b">
        <v>1</v>
      </c>
      <c r="J293" s="113" t="b">
        <v>0</v>
      </c>
      <c r="K293" s="159">
        <f t="shared" si="1"/>
        <v>45726</v>
      </c>
      <c r="L293" s="54" t="s">
        <v>36</v>
      </c>
    </row>
    <row r="294">
      <c r="A294" s="29">
        <v>292.0</v>
      </c>
      <c r="B294" s="42" t="s">
        <v>1038</v>
      </c>
      <c r="C294" s="51"/>
      <c r="D294" s="156"/>
      <c r="E294" s="90">
        <v>10089.0</v>
      </c>
      <c r="F294" s="53">
        <v>225.0</v>
      </c>
      <c r="G294" s="80"/>
      <c r="H294" s="160">
        <v>45546.0</v>
      </c>
      <c r="I294" s="58" t="b">
        <v>1</v>
      </c>
      <c r="J294" s="60" t="b">
        <v>1</v>
      </c>
      <c r="K294" s="159">
        <f t="shared" si="1"/>
        <v>45727</v>
      </c>
      <c r="L294" s="54" t="s">
        <v>36</v>
      </c>
    </row>
    <row r="295">
      <c r="A295" s="29">
        <v>293.0</v>
      </c>
      <c r="B295" s="42" t="s">
        <v>1040</v>
      </c>
      <c r="C295" s="51"/>
      <c r="D295" s="156"/>
      <c r="E295" s="90">
        <v>10090.0</v>
      </c>
      <c r="F295" s="53">
        <v>225.0</v>
      </c>
      <c r="G295" s="80"/>
      <c r="H295" s="55">
        <v>45546.0</v>
      </c>
      <c r="I295" s="58" t="b">
        <v>1</v>
      </c>
      <c r="J295" s="113" t="b">
        <v>0</v>
      </c>
      <c r="K295" s="159">
        <f t="shared" si="1"/>
        <v>45727</v>
      </c>
      <c r="L295" s="54" t="s">
        <v>36</v>
      </c>
    </row>
    <row r="296">
      <c r="A296" s="29">
        <v>294.0</v>
      </c>
      <c r="B296" s="42" t="s">
        <v>1041</v>
      </c>
      <c r="C296" s="51"/>
      <c r="D296" s="156"/>
      <c r="E296" s="90">
        <v>10091.0</v>
      </c>
      <c r="F296" s="53">
        <v>225.0</v>
      </c>
      <c r="G296" s="80"/>
      <c r="H296" s="55">
        <v>45546.0</v>
      </c>
      <c r="I296" s="58" t="b">
        <v>1</v>
      </c>
      <c r="J296" s="60" t="b">
        <v>1</v>
      </c>
      <c r="K296" s="159">
        <f t="shared" si="1"/>
        <v>45727</v>
      </c>
      <c r="L296" s="54" t="s">
        <v>36</v>
      </c>
    </row>
    <row r="297">
      <c r="A297" s="29">
        <v>295.0</v>
      </c>
      <c r="B297" s="42" t="s">
        <v>1043</v>
      </c>
      <c r="C297" s="51"/>
      <c r="D297" s="156"/>
      <c r="E297" s="90">
        <v>10092.0</v>
      </c>
      <c r="F297" s="53">
        <v>225.0</v>
      </c>
      <c r="G297" s="80"/>
      <c r="H297" s="55">
        <v>45548.0</v>
      </c>
      <c r="I297" s="58" t="b">
        <v>1</v>
      </c>
      <c r="J297" s="60" t="b">
        <v>1</v>
      </c>
      <c r="K297" s="159">
        <f t="shared" si="1"/>
        <v>45729</v>
      </c>
      <c r="L297" s="54" t="s">
        <v>36</v>
      </c>
    </row>
    <row r="298">
      <c r="A298" s="29">
        <v>296.0</v>
      </c>
      <c r="B298" s="42" t="s">
        <v>1044</v>
      </c>
      <c r="C298" s="51"/>
      <c r="D298" s="156"/>
      <c r="E298" s="90">
        <v>10093.0</v>
      </c>
      <c r="F298" s="53">
        <v>225.0</v>
      </c>
      <c r="G298" s="80"/>
      <c r="H298" s="55">
        <v>45549.0</v>
      </c>
      <c r="I298" s="58" t="b">
        <v>1</v>
      </c>
      <c r="J298" s="60" t="b">
        <v>1</v>
      </c>
      <c r="K298" s="159">
        <f t="shared" si="1"/>
        <v>45730</v>
      </c>
      <c r="L298" s="54" t="s">
        <v>36</v>
      </c>
    </row>
    <row r="299">
      <c r="A299" s="29">
        <v>297.0</v>
      </c>
      <c r="B299" s="6" t="s">
        <v>1046</v>
      </c>
      <c r="C299" s="6">
        <v>6.6236743E8</v>
      </c>
      <c r="D299" s="156"/>
      <c r="E299" s="90">
        <v>10094.0</v>
      </c>
      <c r="F299" s="53">
        <v>225.0</v>
      </c>
      <c r="G299" s="80"/>
      <c r="H299" s="55">
        <v>45551.0</v>
      </c>
      <c r="I299" s="58" t="b">
        <v>1</v>
      </c>
      <c r="J299" s="60" t="b">
        <v>1</v>
      </c>
      <c r="K299" s="159">
        <f t="shared" si="1"/>
        <v>45732</v>
      </c>
      <c r="L299" s="54" t="s">
        <v>36</v>
      </c>
    </row>
    <row r="300">
      <c r="A300" s="29">
        <v>298.0</v>
      </c>
      <c r="B300" s="6" t="s">
        <v>1047</v>
      </c>
      <c r="C300" s="6">
        <v>6.88850875E8</v>
      </c>
      <c r="D300" s="156"/>
      <c r="E300" s="90">
        <v>10095.0</v>
      </c>
      <c r="F300" s="53">
        <v>225.0</v>
      </c>
      <c r="G300" s="80"/>
      <c r="H300" s="160">
        <v>45552.0</v>
      </c>
      <c r="I300" s="58" t="b">
        <v>0</v>
      </c>
      <c r="J300" s="60" t="b">
        <v>1</v>
      </c>
      <c r="K300" s="159">
        <f t="shared" si="1"/>
        <v>45733</v>
      </c>
      <c r="L300" s="54" t="s">
        <v>36</v>
      </c>
    </row>
    <row r="301">
      <c r="A301" s="29">
        <v>299.0</v>
      </c>
      <c r="B301" s="6" t="s">
        <v>1049</v>
      </c>
      <c r="C301" s="6">
        <v>6.17978449E8</v>
      </c>
      <c r="D301" s="156"/>
      <c r="E301" s="90">
        <v>10096.0</v>
      </c>
      <c r="F301" s="53">
        <v>225.0</v>
      </c>
      <c r="G301" s="80"/>
      <c r="H301" s="160">
        <v>45552.0</v>
      </c>
      <c r="I301" s="58" t="b">
        <v>0</v>
      </c>
      <c r="J301" s="60" t="b">
        <v>1</v>
      </c>
      <c r="K301" s="159">
        <f t="shared" si="1"/>
        <v>45733</v>
      </c>
      <c r="L301" s="54" t="s">
        <v>36</v>
      </c>
    </row>
    <row r="302">
      <c r="A302" s="29">
        <v>300.0</v>
      </c>
      <c r="B302" s="6" t="s">
        <v>1050</v>
      </c>
      <c r="C302" s="6">
        <v>6.24073478E8</v>
      </c>
      <c r="D302" s="156"/>
      <c r="E302" s="90">
        <v>10097.0</v>
      </c>
      <c r="F302" s="53">
        <v>225.0</v>
      </c>
      <c r="G302" s="80"/>
      <c r="H302" s="55">
        <v>45554.0</v>
      </c>
      <c r="I302" s="58" t="b">
        <v>1</v>
      </c>
      <c r="J302" s="60" t="b">
        <v>1</v>
      </c>
      <c r="K302" s="159">
        <f t="shared" si="1"/>
        <v>45735</v>
      </c>
      <c r="L302" s="54" t="s">
        <v>36</v>
      </c>
    </row>
    <row r="303">
      <c r="A303" s="29">
        <v>301.0</v>
      </c>
      <c r="B303" s="42" t="s">
        <v>1052</v>
      </c>
      <c r="C303" s="51"/>
      <c r="D303" s="156"/>
      <c r="E303" s="90">
        <v>10098.0</v>
      </c>
      <c r="F303" s="53">
        <v>225.0</v>
      </c>
      <c r="G303" s="80"/>
      <c r="H303" s="55">
        <v>45556.0</v>
      </c>
      <c r="I303" s="58" t="b">
        <v>1</v>
      </c>
      <c r="J303" s="113" t="b">
        <v>0</v>
      </c>
      <c r="K303" s="159">
        <f t="shared" si="1"/>
        <v>45737</v>
      </c>
      <c r="L303" s="54" t="s">
        <v>36</v>
      </c>
    </row>
    <row r="304">
      <c r="A304" s="29">
        <v>302.0</v>
      </c>
      <c r="B304" s="42" t="s">
        <v>1053</v>
      </c>
      <c r="C304" s="51"/>
      <c r="D304" s="156"/>
      <c r="E304" s="90">
        <v>10099.0</v>
      </c>
      <c r="F304" s="53">
        <v>225.0</v>
      </c>
      <c r="G304" s="80"/>
      <c r="H304" s="55">
        <v>45558.0</v>
      </c>
      <c r="I304" s="58" t="b">
        <v>1</v>
      </c>
      <c r="J304" s="60" t="b">
        <v>1</v>
      </c>
      <c r="K304" s="159">
        <f t="shared" si="1"/>
        <v>45739</v>
      </c>
      <c r="L304" s="54" t="s">
        <v>36</v>
      </c>
    </row>
    <row r="305">
      <c r="A305" s="29">
        <v>303.0</v>
      </c>
      <c r="B305" s="42" t="s">
        <v>1055</v>
      </c>
      <c r="C305" s="51"/>
      <c r="D305" s="156"/>
      <c r="E305" s="90">
        <v>10100.0</v>
      </c>
      <c r="F305" s="53">
        <v>225.0</v>
      </c>
      <c r="G305" s="80"/>
      <c r="H305" s="55">
        <v>45561.0</v>
      </c>
      <c r="I305" s="58" t="b">
        <v>1</v>
      </c>
      <c r="J305" s="113" t="b">
        <v>0</v>
      </c>
      <c r="K305" s="159">
        <f t="shared" si="1"/>
        <v>45742</v>
      </c>
      <c r="L305" s="54" t="s">
        <v>36</v>
      </c>
    </row>
    <row r="306">
      <c r="A306" s="29">
        <v>304.0</v>
      </c>
      <c r="B306" s="42" t="s">
        <v>1056</v>
      </c>
      <c r="C306" s="51"/>
      <c r="D306" s="156"/>
      <c r="E306" s="90">
        <v>10101.0</v>
      </c>
      <c r="F306" s="53">
        <v>225.0</v>
      </c>
      <c r="G306" s="80"/>
      <c r="H306" s="55">
        <v>45565.0</v>
      </c>
      <c r="I306" s="58" t="b">
        <v>1</v>
      </c>
      <c r="J306" s="60" t="b">
        <v>1</v>
      </c>
      <c r="K306" s="159">
        <f t="shared" si="1"/>
        <v>45746</v>
      </c>
      <c r="L306" s="54" t="s">
        <v>36</v>
      </c>
    </row>
    <row r="307">
      <c r="A307" s="29">
        <v>305.0</v>
      </c>
      <c r="B307" s="42" t="s">
        <v>1058</v>
      </c>
      <c r="C307" s="51"/>
      <c r="D307" s="156"/>
      <c r="E307" s="90">
        <v>10102.0</v>
      </c>
      <c r="F307" s="53">
        <v>225.0</v>
      </c>
      <c r="G307" s="80"/>
      <c r="H307" s="55">
        <v>45566.0</v>
      </c>
      <c r="I307" s="58" t="b">
        <v>1</v>
      </c>
      <c r="J307" s="60" t="b">
        <v>1</v>
      </c>
      <c r="K307" s="159">
        <f t="shared" si="1"/>
        <v>45748</v>
      </c>
      <c r="L307" s="54" t="s">
        <v>36</v>
      </c>
    </row>
    <row r="308">
      <c r="A308" s="29">
        <v>306.0</v>
      </c>
      <c r="B308" s="42" t="s">
        <v>1061</v>
      </c>
      <c r="C308" s="51"/>
      <c r="D308" s="156"/>
      <c r="E308" s="90">
        <v>10103.0</v>
      </c>
      <c r="F308" s="53">
        <v>225.0</v>
      </c>
      <c r="G308" s="80"/>
      <c r="H308" s="55">
        <v>45567.0</v>
      </c>
      <c r="I308" s="58" t="b">
        <v>1</v>
      </c>
      <c r="J308" s="60" t="b">
        <v>1</v>
      </c>
      <c r="K308" s="159">
        <f t="shared" si="1"/>
        <v>45749</v>
      </c>
      <c r="L308" s="54" t="s">
        <v>36</v>
      </c>
    </row>
    <row r="309">
      <c r="A309" s="29">
        <v>307.0</v>
      </c>
      <c r="B309" s="42" t="s">
        <v>1065</v>
      </c>
      <c r="C309" s="51"/>
      <c r="D309" s="156"/>
      <c r="E309" s="90">
        <v>10104.0</v>
      </c>
      <c r="F309" s="53">
        <v>225.0</v>
      </c>
      <c r="G309" s="80"/>
      <c r="H309" s="185">
        <v>45567.0</v>
      </c>
      <c r="I309" s="58" t="b">
        <v>1</v>
      </c>
      <c r="J309" s="60" t="b">
        <v>1</v>
      </c>
      <c r="K309" s="159">
        <f t="shared" si="1"/>
        <v>45749</v>
      </c>
      <c r="L309" s="54" t="s">
        <v>36</v>
      </c>
    </row>
    <row r="310">
      <c r="A310" s="29">
        <v>308.0</v>
      </c>
      <c r="B310" s="42" t="s">
        <v>1068</v>
      </c>
      <c r="C310" s="51"/>
      <c r="D310" s="156"/>
      <c r="E310" s="90">
        <v>10105.0</v>
      </c>
      <c r="F310" s="53">
        <v>225.0</v>
      </c>
      <c r="G310" s="80"/>
      <c r="H310" s="55">
        <v>45568.0</v>
      </c>
      <c r="I310" s="58" t="b">
        <v>1</v>
      </c>
      <c r="J310" s="60" t="b">
        <v>1</v>
      </c>
      <c r="K310" s="159">
        <f t="shared" si="1"/>
        <v>45750</v>
      </c>
      <c r="L310" s="54" t="s">
        <v>36</v>
      </c>
    </row>
    <row r="311">
      <c r="A311" s="29">
        <v>309.0</v>
      </c>
      <c r="B311" s="42" t="s">
        <v>1070</v>
      </c>
      <c r="C311" s="51"/>
      <c r="D311" s="156"/>
      <c r="E311" s="90">
        <v>10106.0</v>
      </c>
      <c r="F311" s="53">
        <v>225.0</v>
      </c>
      <c r="G311" s="80"/>
      <c r="H311" s="185">
        <v>45569.0</v>
      </c>
      <c r="I311" s="58" t="b">
        <v>1</v>
      </c>
      <c r="J311" s="60" t="b">
        <v>1</v>
      </c>
      <c r="K311" s="159">
        <f t="shared" si="1"/>
        <v>45751</v>
      </c>
      <c r="L311" s="54" t="s">
        <v>36</v>
      </c>
    </row>
    <row r="312">
      <c r="A312" s="29">
        <v>310.0</v>
      </c>
      <c r="B312" s="42" t="s">
        <v>1071</v>
      </c>
      <c r="C312" s="51"/>
      <c r="D312" s="156"/>
      <c r="E312" s="90">
        <v>10107.0</v>
      </c>
      <c r="F312" s="53">
        <v>225.0</v>
      </c>
      <c r="G312" s="80"/>
      <c r="H312" s="55">
        <v>45570.0</v>
      </c>
      <c r="I312" s="58" t="b">
        <v>1</v>
      </c>
      <c r="J312" s="60" t="b">
        <v>1</v>
      </c>
      <c r="K312" s="159">
        <f t="shared" si="1"/>
        <v>45752</v>
      </c>
      <c r="L312" s="54" t="s">
        <v>36</v>
      </c>
    </row>
    <row r="313">
      <c r="A313" s="29">
        <v>311.0</v>
      </c>
      <c r="B313" s="42" t="s">
        <v>1073</v>
      </c>
      <c r="C313" s="51"/>
      <c r="D313" s="156"/>
      <c r="E313" s="90">
        <v>10108.0</v>
      </c>
      <c r="F313" s="53">
        <v>225.0</v>
      </c>
      <c r="G313" s="80"/>
      <c r="H313" s="185">
        <v>45571.0</v>
      </c>
      <c r="I313" s="58" t="b">
        <v>1</v>
      </c>
      <c r="J313" s="60" t="b">
        <v>1</v>
      </c>
      <c r="K313" s="159">
        <f t="shared" si="1"/>
        <v>45753</v>
      </c>
      <c r="L313" s="54" t="s">
        <v>36</v>
      </c>
    </row>
    <row r="314">
      <c r="A314" s="29">
        <v>312.0</v>
      </c>
      <c r="B314" s="42" t="s">
        <v>1074</v>
      </c>
      <c r="C314" s="51"/>
      <c r="D314" s="156"/>
      <c r="E314" s="90">
        <v>10109.0</v>
      </c>
      <c r="F314" s="53">
        <v>225.0</v>
      </c>
      <c r="G314" s="80"/>
      <c r="H314" s="55">
        <v>45572.0</v>
      </c>
      <c r="I314" s="58" t="b">
        <v>1</v>
      </c>
      <c r="J314" s="60" t="b">
        <v>1</v>
      </c>
      <c r="K314" s="159">
        <f t="shared" si="1"/>
        <v>45754</v>
      </c>
      <c r="L314" s="54" t="s">
        <v>36</v>
      </c>
    </row>
    <row r="315">
      <c r="A315" s="29">
        <v>313.0</v>
      </c>
      <c r="B315" s="42" t="s">
        <v>1076</v>
      </c>
      <c r="C315" s="51"/>
      <c r="D315" s="156"/>
      <c r="E315" s="90">
        <v>10110.0</v>
      </c>
      <c r="F315" s="53">
        <v>225.0</v>
      </c>
      <c r="G315" s="80"/>
      <c r="H315" s="55">
        <v>45572.0</v>
      </c>
      <c r="I315" s="58" t="b">
        <v>1</v>
      </c>
      <c r="J315" s="60" t="b">
        <v>1</v>
      </c>
      <c r="K315" s="159">
        <f t="shared" si="1"/>
        <v>45754</v>
      </c>
      <c r="L315" s="54" t="s">
        <v>36</v>
      </c>
    </row>
    <row r="316">
      <c r="A316" s="29">
        <v>314.0</v>
      </c>
      <c r="B316" s="42" t="s">
        <v>1077</v>
      </c>
      <c r="C316" s="51"/>
      <c r="D316" s="156"/>
      <c r="E316" s="90">
        <v>10111.0</v>
      </c>
      <c r="F316" s="53">
        <v>225.0</v>
      </c>
      <c r="G316" s="80"/>
      <c r="H316" s="185">
        <v>45572.0</v>
      </c>
      <c r="I316" s="58" t="b">
        <v>1</v>
      </c>
      <c r="J316" s="60" t="b">
        <v>1</v>
      </c>
      <c r="K316" s="159">
        <f t="shared" si="1"/>
        <v>45754</v>
      </c>
      <c r="L316" s="54" t="s">
        <v>36</v>
      </c>
    </row>
    <row r="317">
      <c r="A317" s="29">
        <v>315.0</v>
      </c>
      <c r="B317" s="42" t="s">
        <v>1079</v>
      </c>
      <c r="C317" s="51"/>
      <c r="D317" s="156"/>
      <c r="E317" s="90">
        <v>10112.0</v>
      </c>
      <c r="F317" s="53">
        <v>225.0</v>
      </c>
      <c r="G317" s="80"/>
      <c r="H317" s="55">
        <v>45573.0</v>
      </c>
      <c r="I317" s="58" t="b">
        <v>1</v>
      </c>
      <c r="J317" s="113" t="b">
        <v>0</v>
      </c>
      <c r="K317" s="159">
        <f t="shared" si="1"/>
        <v>45755</v>
      </c>
      <c r="L317" s="54" t="s">
        <v>36</v>
      </c>
    </row>
    <row r="318">
      <c r="A318" s="29">
        <v>316.0</v>
      </c>
      <c r="B318" s="42" t="s">
        <v>1081</v>
      </c>
      <c r="C318" s="51"/>
      <c r="D318" s="156"/>
      <c r="E318" s="90">
        <v>10113.0</v>
      </c>
      <c r="F318" s="53">
        <v>225.0</v>
      </c>
      <c r="G318" s="80"/>
      <c r="H318" s="55">
        <v>45574.0</v>
      </c>
      <c r="I318" s="58" t="b">
        <v>1</v>
      </c>
      <c r="J318" s="60" t="b">
        <v>1</v>
      </c>
      <c r="K318" s="159">
        <f t="shared" si="1"/>
        <v>45756</v>
      </c>
      <c r="L318" s="54" t="s">
        <v>36</v>
      </c>
    </row>
    <row r="319">
      <c r="A319" s="29">
        <v>317.0</v>
      </c>
      <c r="B319" s="42" t="s">
        <v>1082</v>
      </c>
      <c r="C319" s="51"/>
      <c r="D319" s="156"/>
      <c r="E319" s="90">
        <v>10114.0</v>
      </c>
      <c r="F319" s="53">
        <v>225.0</v>
      </c>
      <c r="G319" s="80"/>
      <c r="H319" s="55">
        <v>45574.0</v>
      </c>
      <c r="I319" s="58" t="b">
        <v>1</v>
      </c>
      <c r="J319" s="60" t="b">
        <v>1</v>
      </c>
      <c r="K319" s="159">
        <f t="shared" si="1"/>
        <v>45756</v>
      </c>
      <c r="L319" s="54" t="s">
        <v>36</v>
      </c>
    </row>
    <row r="320">
      <c r="A320" s="29">
        <v>318.0</v>
      </c>
      <c r="B320" s="42" t="s">
        <v>1084</v>
      </c>
      <c r="C320" s="51"/>
      <c r="D320" s="156"/>
      <c r="E320" s="90">
        <v>10115.0</v>
      </c>
      <c r="F320" s="53">
        <v>225.0</v>
      </c>
      <c r="G320" s="80"/>
      <c r="H320" s="185">
        <v>45575.0</v>
      </c>
      <c r="I320" s="58" t="b">
        <v>1</v>
      </c>
      <c r="J320" s="60" t="b">
        <v>1</v>
      </c>
      <c r="K320" s="159">
        <f t="shared" si="1"/>
        <v>45757</v>
      </c>
      <c r="L320" s="54" t="s">
        <v>36</v>
      </c>
    </row>
    <row r="321">
      <c r="A321" s="29">
        <v>319.0</v>
      </c>
      <c r="B321" s="42" t="s">
        <v>1085</v>
      </c>
      <c r="C321" s="51"/>
      <c r="D321" s="156"/>
      <c r="E321" s="90">
        <v>10116.0</v>
      </c>
      <c r="F321" s="53">
        <v>225.0</v>
      </c>
      <c r="G321" s="80"/>
      <c r="H321" s="185">
        <v>45578.0</v>
      </c>
      <c r="I321" s="58" t="b">
        <v>1</v>
      </c>
      <c r="J321" s="60" t="b">
        <v>1</v>
      </c>
      <c r="K321" s="159">
        <f t="shared" si="1"/>
        <v>45760</v>
      </c>
      <c r="L321" s="54" t="s">
        <v>36</v>
      </c>
    </row>
    <row r="322">
      <c r="A322" s="29">
        <v>320.0</v>
      </c>
      <c r="B322" s="42" t="s">
        <v>1086</v>
      </c>
      <c r="C322" s="51"/>
      <c r="D322" s="156"/>
      <c r="E322" s="90">
        <v>10117.0</v>
      </c>
      <c r="F322" s="53">
        <v>225.0</v>
      </c>
      <c r="G322" s="80"/>
      <c r="H322" s="185">
        <v>45578.0</v>
      </c>
      <c r="I322" s="58" t="b">
        <v>1</v>
      </c>
      <c r="J322" s="60" t="b">
        <v>1</v>
      </c>
      <c r="K322" s="159">
        <f t="shared" si="1"/>
        <v>45760</v>
      </c>
      <c r="L322" s="54" t="s">
        <v>36</v>
      </c>
    </row>
    <row r="323">
      <c r="A323" s="29">
        <v>321.0</v>
      </c>
      <c r="B323" s="42" t="s">
        <v>1088</v>
      </c>
      <c r="C323" s="51"/>
      <c r="D323" s="156"/>
      <c r="E323" s="90">
        <v>10118.0</v>
      </c>
      <c r="F323" s="53">
        <v>225.0</v>
      </c>
      <c r="G323" s="80"/>
      <c r="H323" s="55">
        <v>45580.0</v>
      </c>
      <c r="I323" s="58" t="b">
        <v>1</v>
      </c>
      <c r="J323" s="60" t="b">
        <v>1</v>
      </c>
      <c r="K323" s="159">
        <f t="shared" si="1"/>
        <v>45762</v>
      </c>
      <c r="L323" s="54" t="s">
        <v>36</v>
      </c>
    </row>
    <row r="324">
      <c r="A324" s="29">
        <v>322.0</v>
      </c>
      <c r="B324" s="42" t="s">
        <v>1089</v>
      </c>
      <c r="C324" s="51"/>
      <c r="D324" s="156"/>
      <c r="E324" s="90">
        <v>10119.0</v>
      </c>
      <c r="F324" s="53">
        <v>225.0</v>
      </c>
      <c r="G324" s="80"/>
      <c r="H324" s="55">
        <v>45587.0</v>
      </c>
      <c r="I324" s="58" t="b">
        <v>1</v>
      </c>
      <c r="J324" s="60" t="b">
        <v>1</v>
      </c>
      <c r="K324" s="159">
        <f t="shared" si="1"/>
        <v>45769</v>
      </c>
      <c r="L324" s="54" t="s">
        <v>36</v>
      </c>
    </row>
    <row r="325">
      <c r="A325" s="29">
        <v>323.0</v>
      </c>
      <c r="B325" s="42" t="s">
        <v>1091</v>
      </c>
      <c r="C325" s="51"/>
      <c r="D325" s="156"/>
      <c r="E325" s="90">
        <v>10120.0</v>
      </c>
      <c r="F325" s="53">
        <v>225.0</v>
      </c>
      <c r="G325" s="80"/>
      <c r="H325" s="55">
        <v>45588.0</v>
      </c>
      <c r="I325" s="58" t="b">
        <v>1</v>
      </c>
      <c r="J325" s="60" t="b">
        <v>1</v>
      </c>
      <c r="K325" s="159">
        <f t="shared" si="1"/>
        <v>45770</v>
      </c>
      <c r="L325" s="54" t="s">
        <v>36</v>
      </c>
    </row>
    <row r="326">
      <c r="A326" s="29">
        <v>324.0</v>
      </c>
      <c r="B326" s="42" t="s">
        <v>1093</v>
      </c>
      <c r="C326" s="51"/>
      <c r="D326" s="156"/>
      <c r="E326" s="90">
        <v>10121.0</v>
      </c>
      <c r="F326" s="53">
        <v>225.0</v>
      </c>
      <c r="G326" s="80"/>
      <c r="H326" s="55">
        <v>45592.0</v>
      </c>
      <c r="I326" s="58" t="b">
        <v>1</v>
      </c>
      <c r="J326" s="60" t="b">
        <v>1</v>
      </c>
      <c r="K326" s="159">
        <f t="shared" si="1"/>
        <v>45774</v>
      </c>
      <c r="L326" s="54" t="s">
        <v>36</v>
      </c>
    </row>
    <row r="327">
      <c r="A327" s="29">
        <v>325.0</v>
      </c>
      <c r="B327" s="42" t="s">
        <v>1094</v>
      </c>
      <c r="C327" s="51"/>
      <c r="D327" s="156"/>
      <c r="E327" s="90">
        <v>10122.0</v>
      </c>
      <c r="F327" s="53">
        <v>225.0</v>
      </c>
      <c r="G327" s="80"/>
      <c r="H327" s="55">
        <v>45593.0</v>
      </c>
      <c r="I327" s="58" t="b">
        <v>1</v>
      </c>
      <c r="J327" s="60" t="b">
        <v>1</v>
      </c>
      <c r="K327" s="159">
        <f t="shared" si="1"/>
        <v>45775</v>
      </c>
      <c r="L327" s="54" t="s">
        <v>36</v>
      </c>
    </row>
    <row r="328">
      <c r="A328" s="29">
        <v>326.0</v>
      </c>
      <c r="B328" s="42" t="s">
        <v>1096</v>
      </c>
      <c r="C328" s="51"/>
      <c r="D328" s="156"/>
      <c r="E328" s="90">
        <v>10123.0</v>
      </c>
      <c r="F328" s="53">
        <v>225.0</v>
      </c>
      <c r="G328" s="80"/>
      <c r="H328" s="55">
        <v>45593.0</v>
      </c>
      <c r="I328" s="58" t="b">
        <v>1</v>
      </c>
      <c r="J328" s="60" t="b">
        <v>1</v>
      </c>
      <c r="K328" s="159">
        <f t="shared" si="1"/>
        <v>45775</v>
      </c>
      <c r="L328" s="54" t="s">
        <v>36</v>
      </c>
    </row>
    <row r="329">
      <c r="A329" s="29">
        <v>327.0</v>
      </c>
      <c r="B329" s="42" t="s">
        <v>1098</v>
      </c>
      <c r="C329" s="51"/>
      <c r="D329" s="156"/>
      <c r="E329" s="90">
        <v>10124.0</v>
      </c>
      <c r="F329" s="53">
        <v>225.0</v>
      </c>
      <c r="G329" s="80"/>
      <c r="H329" s="55">
        <v>45593.0</v>
      </c>
      <c r="I329" s="58" t="b">
        <v>1</v>
      </c>
      <c r="J329" s="60" t="b">
        <v>1</v>
      </c>
      <c r="K329" s="159">
        <f t="shared" si="1"/>
        <v>45775</v>
      </c>
      <c r="L329" s="54" t="s">
        <v>36</v>
      </c>
    </row>
    <row r="330">
      <c r="A330" s="29">
        <v>328.0</v>
      </c>
      <c r="B330" s="42" t="s">
        <v>1099</v>
      </c>
      <c r="C330" s="51"/>
      <c r="D330" s="156"/>
      <c r="E330" s="90">
        <v>10125.0</v>
      </c>
      <c r="F330" s="53">
        <v>225.0</v>
      </c>
      <c r="G330" s="80"/>
      <c r="H330" s="55">
        <v>45594.0</v>
      </c>
      <c r="I330" s="58" t="b">
        <v>1</v>
      </c>
      <c r="J330" s="60" t="b">
        <v>1</v>
      </c>
      <c r="K330" s="159">
        <f t="shared" si="1"/>
        <v>45776</v>
      </c>
      <c r="L330" s="54" t="s">
        <v>36</v>
      </c>
    </row>
    <row r="331">
      <c r="A331" s="29">
        <v>329.0</v>
      </c>
      <c r="B331" s="42" t="s">
        <v>1100</v>
      </c>
      <c r="C331" s="51"/>
      <c r="D331" s="156"/>
      <c r="E331" s="90">
        <v>10126.0</v>
      </c>
      <c r="F331" s="53">
        <v>225.0</v>
      </c>
      <c r="G331" s="42" t="s">
        <v>1101</v>
      </c>
      <c r="H331" s="55">
        <v>45597.0</v>
      </c>
      <c r="I331" s="58" t="b">
        <v>1</v>
      </c>
      <c r="J331" s="60" t="b">
        <v>1</v>
      </c>
      <c r="K331" s="159">
        <f t="shared" si="1"/>
        <v>45778</v>
      </c>
      <c r="L331" s="54" t="s">
        <v>36</v>
      </c>
    </row>
    <row r="332">
      <c r="A332" s="29">
        <v>330.0</v>
      </c>
      <c r="B332" s="42" t="s">
        <v>1103</v>
      </c>
      <c r="C332" s="51"/>
      <c r="D332" s="156"/>
      <c r="E332" s="90">
        <v>10127.0</v>
      </c>
      <c r="F332" s="53">
        <v>225.0</v>
      </c>
      <c r="G332" s="80"/>
      <c r="H332" s="55">
        <v>45598.0</v>
      </c>
      <c r="I332" s="58" t="b">
        <v>1</v>
      </c>
      <c r="J332" s="60" t="b">
        <v>1</v>
      </c>
      <c r="K332" s="159">
        <f t="shared" si="1"/>
        <v>45779</v>
      </c>
      <c r="L332" s="54" t="s">
        <v>36</v>
      </c>
    </row>
    <row r="333">
      <c r="A333" s="29">
        <v>331.0</v>
      </c>
      <c r="B333" s="42" t="s">
        <v>1104</v>
      </c>
      <c r="C333" s="51"/>
      <c r="D333" s="156"/>
      <c r="E333" s="90">
        <v>10128.0</v>
      </c>
      <c r="F333" s="53">
        <v>225.0</v>
      </c>
      <c r="G333" s="80"/>
      <c r="H333" s="55">
        <v>45600.0</v>
      </c>
      <c r="I333" s="58" t="b">
        <v>1</v>
      </c>
      <c r="J333" s="60" t="b">
        <v>1</v>
      </c>
      <c r="K333" s="159">
        <f t="shared" si="1"/>
        <v>45781</v>
      </c>
      <c r="L333" s="54" t="s">
        <v>36</v>
      </c>
    </row>
    <row r="334">
      <c r="A334" s="29">
        <v>332.0</v>
      </c>
      <c r="B334" s="42" t="s">
        <v>1104</v>
      </c>
      <c r="C334" s="51"/>
      <c r="D334" s="156"/>
      <c r="E334" s="90">
        <v>10129.0</v>
      </c>
      <c r="F334" s="53">
        <v>225.0</v>
      </c>
      <c r="G334" s="80"/>
      <c r="H334" s="55">
        <v>45600.0</v>
      </c>
      <c r="I334" s="58" t="b">
        <v>1</v>
      </c>
      <c r="J334" s="60" t="b">
        <v>1</v>
      </c>
      <c r="K334" s="159">
        <f t="shared" si="1"/>
        <v>45781</v>
      </c>
      <c r="L334" s="54" t="s">
        <v>36</v>
      </c>
    </row>
    <row r="335">
      <c r="A335" s="29">
        <v>333.0</v>
      </c>
      <c r="B335" s="42" t="s">
        <v>1106</v>
      </c>
      <c r="C335" s="51"/>
      <c r="D335" s="156"/>
      <c r="E335" s="90">
        <v>10130.0</v>
      </c>
      <c r="F335" s="53">
        <v>225.0</v>
      </c>
      <c r="G335" s="80"/>
      <c r="H335" s="55">
        <v>45606.0</v>
      </c>
      <c r="I335" s="58" t="b">
        <v>1</v>
      </c>
      <c r="J335" s="60" t="b">
        <v>1</v>
      </c>
      <c r="K335" s="159">
        <f t="shared" si="1"/>
        <v>45787</v>
      </c>
      <c r="L335" s="54" t="s">
        <v>36</v>
      </c>
    </row>
    <row r="336">
      <c r="A336" s="29">
        <v>334.0</v>
      </c>
      <c r="B336" s="42" t="s">
        <v>1107</v>
      </c>
      <c r="C336" s="51"/>
      <c r="D336" s="156"/>
      <c r="E336" s="90">
        <v>10131.0</v>
      </c>
      <c r="F336" s="53">
        <v>225.0</v>
      </c>
      <c r="G336" s="80"/>
      <c r="H336" s="55">
        <v>45607.0</v>
      </c>
      <c r="I336" s="58" t="b">
        <v>1</v>
      </c>
      <c r="J336" s="60" t="b">
        <v>1</v>
      </c>
      <c r="K336" s="159">
        <f t="shared" si="1"/>
        <v>45788</v>
      </c>
      <c r="L336" s="54" t="s">
        <v>36</v>
      </c>
    </row>
    <row r="337">
      <c r="A337" s="29">
        <v>335.0</v>
      </c>
      <c r="B337" s="42" t="s">
        <v>1109</v>
      </c>
      <c r="C337" s="51"/>
      <c r="D337" s="156"/>
      <c r="E337" s="90">
        <v>10132.0</v>
      </c>
      <c r="F337" s="53">
        <v>225.0</v>
      </c>
      <c r="G337" s="80"/>
      <c r="H337" s="55">
        <v>45610.0</v>
      </c>
      <c r="I337" s="58" t="b">
        <v>1</v>
      </c>
      <c r="J337" s="60" t="b">
        <v>1</v>
      </c>
      <c r="K337" s="159">
        <f t="shared" si="1"/>
        <v>45791</v>
      </c>
      <c r="L337" s="54" t="s">
        <v>36</v>
      </c>
    </row>
    <row r="338">
      <c r="A338" s="29">
        <v>336.0</v>
      </c>
      <c r="B338" s="42" t="s">
        <v>1110</v>
      </c>
      <c r="C338" s="51"/>
      <c r="D338" s="156"/>
      <c r="E338" s="90">
        <v>10133.0</v>
      </c>
      <c r="F338" s="53">
        <v>225.0</v>
      </c>
      <c r="G338" s="80"/>
      <c r="H338" s="55">
        <v>45612.0</v>
      </c>
      <c r="I338" s="58" t="b">
        <v>1</v>
      </c>
      <c r="J338" s="60" t="b">
        <v>1</v>
      </c>
      <c r="K338" s="159">
        <f t="shared" si="1"/>
        <v>45793</v>
      </c>
      <c r="L338" s="54" t="s">
        <v>36</v>
      </c>
    </row>
    <row r="339">
      <c r="A339" s="29">
        <v>337.0</v>
      </c>
      <c r="B339" s="42" t="s">
        <v>1112</v>
      </c>
      <c r="C339" s="51"/>
      <c r="D339" s="156"/>
      <c r="E339" s="90">
        <v>10134.0</v>
      </c>
      <c r="F339" s="53">
        <v>225.0</v>
      </c>
      <c r="G339" s="42" t="s">
        <v>1113</v>
      </c>
      <c r="H339" s="55">
        <v>45612.0</v>
      </c>
      <c r="I339" s="58" t="b">
        <v>1</v>
      </c>
      <c r="J339" s="60" t="b">
        <v>1</v>
      </c>
      <c r="K339" s="159">
        <f t="shared" si="1"/>
        <v>45793</v>
      </c>
      <c r="L339" s="54" t="s">
        <v>36</v>
      </c>
    </row>
    <row r="340">
      <c r="A340" s="29">
        <v>338.0</v>
      </c>
      <c r="B340" s="42" t="s">
        <v>1115</v>
      </c>
      <c r="C340" s="51"/>
      <c r="D340" s="156"/>
      <c r="E340" s="90">
        <v>10135.0</v>
      </c>
      <c r="F340" s="53">
        <v>225.0</v>
      </c>
      <c r="G340" s="80"/>
      <c r="H340" s="55">
        <v>45616.0</v>
      </c>
      <c r="I340" s="58" t="b">
        <v>1</v>
      </c>
      <c r="J340" s="60" t="b">
        <v>1</v>
      </c>
      <c r="K340" s="159">
        <f t="shared" si="1"/>
        <v>45797</v>
      </c>
      <c r="L340" s="54" t="s">
        <v>36</v>
      </c>
    </row>
    <row r="341">
      <c r="A341" s="29">
        <v>339.0</v>
      </c>
      <c r="B341" s="42" t="s">
        <v>1116</v>
      </c>
      <c r="C341" s="51"/>
      <c r="D341" s="156"/>
      <c r="E341" s="90">
        <v>10136.0</v>
      </c>
      <c r="F341" s="53">
        <v>225.0</v>
      </c>
      <c r="G341" s="80"/>
      <c r="H341" s="55">
        <v>45617.0</v>
      </c>
      <c r="I341" s="58" t="b">
        <v>1</v>
      </c>
      <c r="J341" s="60" t="b">
        <v>1</v>
      </c>
      <c r="K341" s="159">
        <f t="shared" si="1"/>
        <v>45798</v>
      </c>
      <c r="L341" s="54" t="s">
        <v>36</v>
      </c>
    </row>
    <row r="342">
      <c r="A342" s="29">
        <v>340.0</v>
      </c>
      <c r="B342" s="42" t="s">
        <v>1118</v>
      </c>
      <c r="C342" s="51"/>
      <c r="D342" s="156"/>
      <c r="E342" s="90">
        <v>10137.0</v>
      </c>
      <c r="F342" s="53">
        <v>225.0</v>
      </c>
      <c r="G342" s="80"/>
      <c r="H342" s="55">
        <v>45618.0</v>
      </c>
      <c r="I342" s="58" t="b">
        <v>1</v>
      </c>
      <c r="J342" s="60" t="b">
        <v>1</v>
      </c>
      <c r="K342" s="159">
        <f t="shared" si="1"/>
        <v>45799</v>
      </c>
      <c r="L342" s="54" t="s">
        <v>36</v>
      </c>
    </row>
    <row r="343">
      <c r="A343" s="29">
        <v>341.0</v>
      </c>
      <c r="B343" s="42" t="s">
        <v>1119</v>
      </c>
      <c r="C343" s="51"/>
      <c r="D343" s="156"/>
      <c r="E343" s="90">
        <v>10138.0</v>
      </c>
      <c r="F343" s="53">
        <v>225.0</v>
      </c>
      <c r="G343" s="80"/>
      <c r="H343" s="55">
        <v>45622.0</v>
      </c>
      <c r="I343" s="58" t="b">
        <v>1</v>
      </c>
      <c r="J343" s="60" t="b">
        <v>1</v>
      </c>
      <c r="K343" s="159">
        <f t="shared" si="1"/>
        <v>45803</v>
      </c>
      <c r="L343" s="54" t="s">
        <v>36</v>
      </c>
    </row>
    <row r="344">
      <c r="A344" s="29">
        <v>342.0</v>
      </c>
      <c r="B344" s="42" t="s">
        <v>1121</v>
      </c>
      <c r="C344" s="51"/>
      <c r="D344" s="156"/>
      <c r="E344" s="90">
        <v>10139.0</v>
      </c>
      <c r="F344" s="53">
        <v>225.0</v>
      </c>
      <c r="G344" s="80"/>
      <c r="H344" s="55">
        <v>45622.0</v>
      </c>
      <c r="I344" s="58" t="b">
        <v>1</v>
      </c>
      <c r="J344" s="60" t="b">
        <v>1</v>
      </c>
      <c r="K344" s="159">
        <f t="shared" si="1"/>
        <v>45803</v>
      </c>
      <c r="L344" s="54" t="s">
        <v>36</v>
      </c>
    </row>
    <row r="345">
      <c r="A345" s="29">
        <v>343.0</v>
      </c>
      <c r="B345" s="42" t="s">
        <v>1123</v>
      </c>
      <c r="C345" s="51"/>
      <c r="D345" s="156"/>
      <c r="E345" s="90">
        <v>10140.0</v>
      </c>
      <c r="F345" s="53">
        <v>225.0</v>
      </c>
      <c r="G345" s="80"/>
      <c r="H345" s="55">
        <v>45624.0</v>
      </c>
      <c r="I345" s="58" t="b">
        <v>1</v>
      </c>
      <c r="J345" s="60" t="b">
        <v>1</v>
      </c>
      <c r="K345" s="159">
        <f t="shared" si="1"/>
        <v>45805</v>
      </c>
      <c r="L345" s="54" t="s">
        <v>36</v>
      </c>
    </row>
    <row r="346">
      <c r="A346" s="29">
        <v>344.0</v>
      </c>
      <c r="B346" s="42" t="s">
        <v>1124</v>
      </c>
      <c r="C346" s="51"/>
      <c r="D346" s="156"/>
      <c r="E346" s="90">
        <v>10141.0</v>
      </c>
      <c r="F346" s="53">
        <v>225.0</v>
      </c>
      <c r="G346" s="80"/>
      <c r="H346" s="55">
        <v>45624.0</v>
      </c>
      <c r="I346" s="58" t="b">
        <v>1</v>
      </c>
      <c r="J346" s="60" t="b">
        <v>1</v>
      </c>
      <c r="K346" s="159">
        <f t="shared" si="1"/>
        <v>45805</v>
      </c>
      <c r="L346" s="54" t="s">
        <v>36</v>
      </c>
    </row>
    <row r="347">
      <c r="A347" s="29">
        <v>345.0</v>
      </c>
      <c r="B347" s="42" t="s">
        <v>1125</v>
      </c>
      <c r="C347" s="51"/>
      <c r="D347" s="156"/>
      <c r="E347" s="90">
        <v>10142.0</v>
      </c>
      <c r="F347" s="53">
        <v>225.0</v>
      </c>
      <c r="G347" s="80"/>
      <c r="H347" s="55">
        <v>45624.0</v>
      </c>
      <c r="I347" s="58" t="b">
        <v>1</v>
      </c>
      <c r="J347" s="60" t="b">
        <v>1</v>
      </c>
      <c r="K347" s="159">
        <f t="shared" si="1"/>
        <v>45805</v>
      </c>
      <c r="L347" s="54" t="s">
        <v>36</v>
      </c>
    </row>
    <row r="348">
      <c r="A348" s="29">
        <v>346.0</v>
      </c>
      <c r="B348" s="42" t="s">
        <v>1126</v>
      </c>
      <c r="C348" s="51"/>
      <c r="D348" s="156"/>
      <c r="E348" s="90">
        <v>10143.0</v>
      </c>
      <c r="F348" s="53">
        <v>225.0</v>
      </c>
      <c r="G348" s="80"/>
      <c r="H348" s="55">
        <v>45626.0</v>
      </c>
      <c r="I348" s="58" t="b">
        <v>1</v>
      </c>
      <c r="J348" s="60" t="b">
        <v>1</v>
      </c>
      <c r="K348" s="159">
        <f t="shared" si="1"/>
        <v>45807</v>
      </c>
      <c r="L348" s="54" t="s">
        <v>36</v>
      </c>
    </row>
    <row r="349">
      <c r="A349" s="29">
        <v>347.0</v>
      </c>
      <c r="B349" s="42" t="s">
        <v>1127</v>
      </c>
      <c r="C349" s="51"/>
      <c r="D349" s="156"/>
      <c r="E349" s="90">
        <v>10144.0</v>
      </c>
      <c r="F349" s="53">
        <v>225.0</v>
      </c>
      <c r="G349" s="80"/>
      <c r="H349" s="55">
        <v>45627.0</v>
      </c>
      <c r="I349" s="58" t="b">
        <v>1</v>
      </c>
      <c r="J349" s="60" t="b">
        <v>1</v>
      </c>
      <c r="K349" s="159">
        <f t="shared" si="1"/>
        <v>45809</v>
      </c>
      <c r="L349" s="54" t="s">
        <v>36</v>
      </c>
    </row>
    <row r="350">
      <c r="A350" s="29">
        <v>348.0</v>
      </c>
      <c r="B350" s="42" t="s">
        <v>1128</v>
      </c>
      <c r="C350" s="51"/>
      <c r="D350" s="156"/>
      <c r="E350" s="90">
        <v>10145.0</v>
      </c>
      <c r="F350" s="53">
        <v>225.0</v>
      </c>
      <c r="G350" s="42" t="s">
        <v>1129</v>
      </c>
      <c r="H350" s="55">
        <v>45628.0</v>
      </c>
      <c r="I350" s="58" t="b">
        <v>1</v>
      </c>
      <c r="J350" s="60" t="b">
        <v>1</v>
      </c>
      <c r="K350" s="159">
        <f t="shared" si="1"/>
        <v>45810</v>
      </c>
      <c r="L350" s="54" t="s">
        <v>36</v>
      </c>
    </row>
    <row r="351">
      <c r="A351" s="29">
        <v>349.0</v>
      </c>
      <c r="B351" s="42" t="s">
        <v>1131</v>
      </c>
      <c r="C351" s="51"/>
      <c r="D351" s="156"/>
      <c r="E351" s="90">
        <v>10147.0</v>
      </c>
      <c r="F351" s="53">
        <v>225.0</v>
      </c>
      <c r="G351" s="80"/>
      <c r="H351" s="55">
        <v>45629.0</v>
      </c>
      <c r="I351" s="58" t="b">
        <v>1</v>
      </c>
      <c r="J351" s="60" t="b">
        <v>1</v>
      </c>
      <c r="K351" s="159">
        <f t="shared" si="1"/>
        <v>45811</v>
      </c>
      <c r="L351" s="54" t="s">
        <v>36</v>
      </c>
    </row>
    <row r="352">
      <c r="A352" s="29">
        <v>350.0</v>
      </c>
      <c r="B352" s="42" t="s">
        <v>1132</v>
      </c>
      <c r="C352" s="51"/>
      <c r="D352" s="156"/>
      <c r="E352" s="90">
        <v>10148.0</v>
      </c>
      <c r="F352" s="53">
        <v>225.0</v>
      </c>
      <c r="G352" s="80"/>
      <c r="H352" s="55">
        <v>45629.0</v>
      </c>
      <c r="I352" s="58" t="b">
        <v>1</v>
      </c>
      <c r="J352" s="60" t="b">
        <v>1</v>
      </c>
      <c r="K352" s="159">
        <f t="shared" si="1"/>
        <v>45811</v>
      </c>
      <c r="L352" s="54" t="s">
        <v>36</v>
      </c>
    </row>
    <row r="353">
      <c r="A353" s="29">
        <v>351.0</v>
      </c>
      <c r="B353" s="42" t="s">
        <v>1134</v>
      </c>
      <c r="C353" s="51"/>
      <c r="D353" s="156"/>
      <c r="E353" s="90">
        <v>10149.0</v>
      </c>
      <c r="F353" s="53">
        <v>225.0</v>
      </c>
      <c r="G353" s="42" t="s">
        <v>1135</v>
      </c>
      <c r="H353" s="55">
        <v>45635.0</v>
      </c>
      <c r="I353" s="58" t="b">
        <v>1</v>
      </c>
      <c r="J353" s="60" t="b">
        <v>1</v>
      </c>
      <c r="K353" s="159">
        <f t="shared" si="1"/>
        <v>45817</v>
      </c>
      <c r="L353" s="54" t="s">
        <v>36</v>
      </c>
    </row>
    <row r="354">
      <c r="A354" s="29">
        <v>352.0</v>
      </c>
      <c r="B354" s="42" t="s">
        <v>1136</v>
      </c>
      <c r="C354" s="51"/>
      <c r="D354" s="156"/>
      <c r="E354" s="90">
        <v>10150.0</v>
      </c>
      <c r="F354" s="53">
        <v>225.0</v>
      </c>
      <c r="G354" s="80"/>
      <c r="H354" s="55">
        <v>45635.0</v>
      </c>
      <c r="I354" s="58" t="b">
        <v>1</v>
      </c>
      <c r="J354" s="113" t="b">
        <v>0</v>
      </c>
      <c r="K354" s="159">
        <f t="shared" si="1"/>
        <v>45817</v>
      </c>
      <c r="L354" s="54" t="s">
        <v>36</v>
      </c>
    </row>
    <row r="355">
      <c r="A355" s="29">
        <v>353.0</v>
      </c>
      <c r="B355" s="42" t="s">
        <v>1138</v>
      </c>
      <c r="C355" s="51"/>
      <c r="D355" s="156"/>
      <c r="E355" s="90">
        <v>10151.0</v>
      </c>
      <c r="F355" s="53">
        <v>225.0</v>
      </c>
      <c r="G355" s="80"/>
      <c r="H355" s="55">
        <v>45635.0</v>
      </c>
      <c r="I355" s="58" t="b">
        <v>1</v>
      </c>
      <c r="J355" s="60" t="b">
        <v>1</v>
      </c>
      <c r="K355" s="159">
        <f t="shared" si="1"/>
        <v>45817</v>
      </c>
      <c r="L355" s="54" t="s">
        <v>36</v>
      </c>
    </row>
    <row r="356">
      <c r="A356" s="29">
        <v>354.0</v>
      </c>
      <c r="B356" s="42" t="s">
        <v>1139</v>
      </c>
      <c r="C356" s="51"/>
      <c r="D356" s="156"/>
      <c r="E356" s="90">
        <v>10152.0</v>
      </c>
      <c r="F356" s="53">
        <v>225.0</v>
      </c>
      <c r="G356" s="80"/>
      <c r="H356" s="55">
        <v>45636.0</v>
      </c>
      <c r="I356" s="58" t="b">
        <v>1</v>
      </c>
      <c r="J356" s="60" t="b">
        <v>1</v>
      </c>
      <c r="K356" s="159">
        <f t="shared" si="1"/>
        <v>45818</v>
      </c>
      <c r="L356" s="54" t="s">
        <v>36</v>
      </c>
    </row>
    <row r="357">
      <c r="A357" s="29">
        <v>355.0</v>
      </c>
      <c r="B357" s="42" t="s">
        <v>1140</v>
      </c>
      <c r="C357" s="51"/>
      <c r="D357" s="156"/>
      <c r="E357" s="90">
        <v>10153.0</v>
      </c>
      <c r="F357" s="53">
        <v>225.0</v>
      </c>
      <c r="G357" s="80"/>
      <c r="H357" s="55">
        <v>45636.0</v>
      </c>
      <c r="I357" s="58" t="b">
        <v>1</v>
      </c>
      <c r="J357" s="60" t="b">
        <v>1</v>
      </c>
      <c r="K357" s="159">
        <f t="shared" si="1"/>
        <v>45818</v>
      </c>
      <c r="L357" s="54" t="s">
        <v>36</v>
      </c>
    </row>
    <row r="358">
      <c r="A358" s="29">
        <v>356.0</v>
      </c>
      <c r="B358" s="42" t="s">
        <v>1142</v>
      </c>
      <c r="C358" s="51"/>
      <c r="D358" s="156"/>
      <c r="E358" s="90">
        <v>10154.0</v>
      </c>
      <c r="F358" s="53">
        <v>225.0</v>
      </c>
      <c r="G358" s="42" t="s">
        <v>1143</v>
      </c>
      <c r="H358" s="55">
        <v>45636.0</v>
      </c>
      <c r="I358" s="58" t="b">
        <v>1</v>
      </c>
      <c r="J358" s="60" t="b">
        <v>1</v>
      </c>
      <c r="K358" s="159">
        <f t="shared" si="1"/>
        <v>45818</v>
      </c>
      <c r="L358" s="54" t="s">
        <v>36</v>
      </c>
    </row>
    <row r="359">
      <c r="A359" s="29">
        <v>357.0</v>
      </c>
      <c r="B359" s="42" t="s">
        <v>1144</v>
      </c>
      <c r="C359" s="51"/>
      <c r="D359" s="156"/>
      <c r="E359" s="90">
        <v>10155.0</v>
      </c>
      <c r="F359" s="53">
        <v>225.0</v>
      </c>
      <c r="G359" s="42" t="s">
        <v>1146</v>
      </c>
      <c r="H359" s="55">
        <v>45637.0</v>
      </c>
      <c r="I359" s="58" t="b">
        <v>1</v>
      </c>
      <c r="J359" s="60" t="b">
        <v>1</v>
      </c>
      <c r="K359" s="159">
        <f t="shared" si="1"/>
        <v>45819</v>
      </c>
      <c r="L359" s="54" t="s">
        <v>36</v>
      </c>
    </row>
    <row r="360">
      <c r="A360" s="29">
        <v>358.0</v>
      </c>
      <c r="B360" s="42" t="s">
        <v>1147</v>
      </c>
      <c r="C360" s="51"/>
      <c r="D360" s="156"/>
      <c r="E360" s="90">
        <v>10157.0</v>
      </c>
      <c r="F360" s="53">
        <v>225.0</v>
      </c>
      <c r="G360" s="80"/>
      <c r="H360" s="55">
        <v>45639.0</v>
      </c>
      <c r="I360" s="58" t="b">
        <v>1</v>
      </c>
      <c r="J360" s="60" t="b">
        <v>1</v>
      </c>
      <c r="K360" s="159">
        <f t="shared" si="1"/>
        <v>45821</v>
      </c>
      <c r="L360" s="54" t="s">
        <v>36</v>
      </c>
    </row>
    <row r="361">
      <c r="A361" s="29">
        <v>359.0</v>
      </c>
      <c r="B361" s="42" t="s">
        <v>1148</v>
      </c>
      <c r="C361" s="51"/>
      <c r="D361" s="156"/>
      <c r="E361" s="90">
        <v>10158.0</v>
      </c>
      <c r="F361" s="53">
        <v>225.0</v>
      </c>
      <c r="G361" s="80"/>
      <c r="H361" s="55">
        <v>45639.0</v>
      </c>
      <c r="I361" s="58" t="b">
        <v>1</v>
      </c>
      <c r="J361" s="60" t="b">
        <v>1</v>
      </c>
      <c r="K361" s="159">
        <f t="shared" si="1"/>
        <v>45821</v>
      </c>
      <c r="L361" s="54" t="s">
        <v>36</v>
      </c>
    </row>
    <row r="362">
      <c r="A362" s="29">
        <v>360.0</v>
      </c>
      <c r="B362" s="42" t="s">
        <v>1149</v>
      </c>
      <c r="C362" s="51"/>
      <c r="D362" s="156"/>
      <c r="E362" s="90">
        <v>10159.0</v>
      </c>
      <c r="F362" s="53">
        <v>225.0</v>
      </c>
      <c r="G362" s="80"/>
      <c r="H362" s="55">
        <v>45639.0</v>
      </c>
      <c r="I362" s="58" t="b">
        <v>1</v>
      </c>
      <c r="J362" s="60" t="b">
        <v>1</v>
      </c>
      <c r="K362" s="159">
        <f t="shared" si="1"/>
        <v>45821</v>
      </c>
      <c r="L362" s="54" t="s">
        <v>36</v>
      </c>
    </row>
    <row r="363">
      <c r="A363" s="29">
        <v>361.0</v>
      </c>
      <c r="B363" s="42" t="s">
        <v>1150</v>
      </c>
      <c r="C363" s="51"/>
      <c r="D363" s="156"/>
      <c r="E363" s="90">
        <v>10160.0</v>
      </c>
      <c r="F363" s="53">
        <v>225.0</v>
      </c>
      <c r="G363" s="80"/>
      <c r="H363" s="55">
        <v>45640.0</v>
      </c>
      <c r="I363" s="58" t="b">
        <v>1</v>
      </c>
      <c r="J363" s="60" t="b">
        <v>1</v>
      </c>
      <c r="K363" s="159">
        <f t="shared" si="1"/>
        <v>45822</v>
      </c>
      <c r="L363" s="54" t="s">
        <v>36</v>
      </c>
    </row>
    <row r="364">
      <c r="A364" s="29">
        <v>362.0</v>
      </c>
      <c r="B364" s="42" t="s">
        <v>1151</v>
      </c>
      <c r="C364" s="51"/>
      <c r="D364" s="156"/>
      <c r="E364" s="90">
        <v>10161.0</v>
      </c>
      <c r="F364" s="53">
        <v>225.0</v>
      </c>
      <c r="G364" s="80"/>
      <c r="H364" s="55">
        <v>45641.0</v>
      </c>
      <c r="I364" s="58" t="b">
        <v>1</v>
      </c>
      <c r="J364" s="60" t="b">
        <v>1</v>
      </c>
      <c r="K364" s="159">
        <f t="shared" si="1"/>
        <v>45823</v>
      </c>
      <c r="L364" s="54" t="s">
        <v>36</v>
      </c>
    </row>
    <row r="365">
      <c r="A365" s="29">
        <v>363.0</v>
      </c>
      <c r="B365" s="42" t="s">
        <v>1152</v>
      </c>
      <c r="C365" s="51"/>
      <c r="D365" s="156"/>
      <c r="E365" s="90">
        <v>10162.0</v>
      </c>
      <c r="F365" s="53">
        <v>225.0</v>
      </c>
      <c r="G365" s="80"/>
      <c r="H365" s="55">
        <v>45641.0</v>
      </c>
      <c r="I365" s="58" t="b">
        <v>1</v>
      </c>
      <c r="J365" s="60" t="b">
        <v>1</v>
      </c>
      <c r="K365" s="159">
        <f t="shared" si="1"/>
        <v>45823</v>
      </c>
      <c r="L365" s="54" t="s">
        <v>36</v>
      </c>
    </row>
    <row r="366">
      <c r="A366" s="29">
        <v>364.0</v>
      </c>
      <c r="B366" s="42" t="s">
        <v>1154</v>
      </c>
      <c r="C366" s="51"/>
      <c r="D366" s="156"/>
      <c r="E366" s="90">
        <v>10163.0</v>
      </c>
      <c r="F366" s="53">
        <v>225.0</v>
      </c>
      <c r="G366" s="80"/>
      <c r="H366" s="55">
        <v>45641.0</v>
      </c>
      <c r="I366" s="58" t="b">
        <v>1</v>
      </c>
      <c r="J366" s="60" t="b">
        <v>1</v>
      </c>
      <c r="K366" s="159">
        <f t="shared" si="1"/>
        <v>45823</v>
      </c>
      <c r="L366" s="54" t="s">
        <v>36</v>
      </c>
    </row>
    <row r="367">
      <c r="A367" s="29">
        <v>365.0</v>
      </c>
      <c r="B367" s="42" t="s">
        <v>1155</v>
      </c>
      <c r="C367" s="51"/>
      <c r="D367" s="156"/>
      <c r="E367" s="90">
        <v>10164.0</v>
      </c>
      <c r="F367" s="53">
        <v>225.0</v>
      </c>
      <c r="G367" s="80"/>
      <c r="H367" s="55">
        <v>45641.0</v>
      </c>
      <c r="I367" s="58" t="b">
        <v>1</v>
      </c>
      <c r="J367" s="60" t="b">
        <v>1</v>
      </c>
      <c r="K367" s="159">
        <f t="shared" si="1"/>
        <v>45823</v>
      </c>
      <c r="L367" s="54" t="s">
        <v>36</v>
      </c>
    </row>
    <row r="368">
      <c r="A368" s="29">
        <v>366.0</v>
      </c>
      <c r="B368" s="42" t="s">
        <v>1156</v>
      </c>
      <c r="C368" s="51"/>
      <c r="D368" s="156"/>
      <c r="E368" s="90">
        <v>10165.0</v>
      </c>
      <c r="F368" s="53">
        <v>225.0</v>
      </c>
      <c r="G368" s="80"/>
      <c r="H368" s="55">
        <v>45641.0</v>
      </c>
      <c r="I368" s="58" t="b">
        <v>1</v>
      </c>
      <c r="J368" s="60" t="b">
        <v>1</v>
      </c>
      <c r="K368" s="159">
        <f t="shared" si="1"/>
        <v>45823</v>
      </c>
      <c r="L368" s="54" t="s">
        <v>36</v>
      </c>
    </row>
    <row r="369">
      <c r="A369" s="29">
        <v>367.0</v>
      </c>
      <c r="B369" s="42" t="s">
        <v>1157</v>
      </c>
      <c r="C369" s="51"/>
      <c r="D369" s="156"/>
      <c r="E369" s="90">
        <v>10166.0</v>
      </c>
      <c r="F369" s="53">
        <v>225.0</v>
      </c>
      <c r="G369" s="80"/>
      <c r="H369" s="55">
        <v>45641.0</v>
      </c>
      <c r="I369" s="58" t="b">
        <v>1</v>
      </c>
      <c r="J369" s="60" t="b">
        <v>1</v>
      </c>
      <c r="K369" s="159">
        <f t="shared" si="1"/>
        <v>45823</v>
      </c>
      <c r="L369" s="54" t="s">
        <v>36</v>
      </c>
    </row>
    <row r="370">
      <c r="A370" s="29">
        <v>368.0</v>
      </c>
      <c r="B370" s="42" t="s">
        <v>1159</v>
      </c>
      <c r="C370" s="51"/>
      <c r="D370" s="156"/>
      <c r="E370" s="90">
        <v>10167.0</v>
      </c>
      <c r="F370" s="53">
        <v>225.0</v>
      </c>
      <c r="G370" s="80"/>
      <c r="H370" s="55">
        <v>45641.0</v>
      </c>
      <c r="I370" s="58" t="b">
        <v>1</v>
      </c>
      <c r="J370" s="60" t="b">
        <v>1</v>
      </c>
      <c r="K370" s="159">
        <f t="shared" si="1"/>
        <v>45823</v>
      </c>
      <c r="L370" s="54" t="s">
        <v>36</v>
      </c>
    </row>
    <row r="371">
      <c r="A371" s="29">
        <v>369.0</v>
      </c>
      <c r="B371" s="42" t="s">
        <v>1160</v>
      </c>
      <c r="C371" s="51"/>
      <c r="D371" s="156"/>
      <c r="E371" s="90">
        <v>10168.0</v>
      </c>
      <c r="F371" s="53">
        <v>225.0</v>
      </c>
      <c r="G371" s="80"/>
      <c r="H371" s="55">
        <v>45641.0</v>
      </c>
      <c r="I371" s="58" t="b">
        <v>1</v>
      </c>
      <c r="J371" s="60" t="b">
        <v>1</v>
      </c>
      <c r="K371" s="159">
        <f t="shared" si="1"/>
        <v>45823</v>
      </c>
      <c r="L371" s="54" t="s">
        <v>36</v>
      </c>
    </row>
    <row r="372" ht="18.0" customHeight="1">
      <c r="A372" s="29">
        <v>370.0</v>
      </c>
      <c r="B372" s="42" t="s">
        <v>1162</v>
      </c>
      <c r="C372" s="51"/>
      <c r="D372" s="156"/>
      <c r="E372" s="90">
        <v>10169.0</v>
      </c>
      <c r="F372" s="53">
        <v>225.0</v>
      </c>
      <c r="G372" s="80"/>
      <c r="H372" s="55">
        <v>45642.0</v>
      </c>
      <c r="I372" s="58" t="b">
        <v>1</v>
      </c>
      <c r="J372" s="60" t="b">
        <v>1</v>
      </c>
      <c r="K372" s="159">
        <f t="shared" si="1"/>
        <v>45824</v>
      </c>
      <c r="L372" s="54" t="s">
        <v>36</v>
      </c>
    </row>
    <row r="373">
      <c r="A373" s="29">
        <v>371.0</v>
      </c>
      <c r="B373" s="42" t="s">
        <v>1163</v>
      </c>
      <c r="C373" s="51"/>
      <c r="D373" s="156"/>
      <c r="E373" s="90">
        <v>10170.0</v>
      </c>
      <c r="F373" s="53">
        <v>225.0</v>
      </c>
      <c r="G373" s="80"/>
      <c r="H373" s="55">
        <v>45642.0</v>
      </c>
      <c r="I373" s="58" t="b">
        <v>1</v>
      </c>
      <c r="J373" s="60" t="b">
        <v>1</v>
      </c>
      <c r="K373" s="159">
        <f t="shared" si="1"/>
        <v>45824</v>
      </c>
      <c r="L373" s="54" t="s">
        <v>36</v>
      </c>
    </row>
    <row r="374">
      <c r="A374" s="29">
        <v>372.0</v>
      </c>
      <c r="B374" s="42" t="s">
        <v>1163</v>
      </c>
      <c r="C374" s="51"/>
      <c r="D374" s="156"/>
      <c r="E374" s="90">
        <v>10171.0</v>
      </c>
      <c r="F374" s="53">
        <v>225.0</v>
      </c>
      <c r="G374" s="42" t="s">
        <v>1165</v>
      </c>
      <c r="H374" s="55">
        <v>45642.0</v>
      </c>
      <c r="I374" s="58" t="b">
        <v>1</v>
      </c>
      <c r="J374" s="60" t="b">
        <v>1</v>
      </c>
      <c r="K374" s="159">
        <f t="shared" si="1"/>
        <v>45824</v>
      </c>
      <c r="L374" s="54" t="s">
        <v>36</v>
      </c>
    </row>
    <row r="375">
      <c r="A375" s="29">
        <v>373.0</v>
      </c>
      <c r="B375" s="42" t="s">
        <v>1166</v>
      </c>
      <c r="C375" s="51"/>
      <c r="D375" s="156"/>
      <c r="E375" s="90">
        <v>10172.0</v>
      </c>
      <c r="F375" s="53">
        <v>225.0</v>
      </c>
      <c r="G375" s="80"/>
      <c r="H375" s="55">
        <v>45642.0</v>
      </c>
      <c r="I375" s="58" t="b">
        <v>1</v>
      </c>
      <c r="J375" s="60" t="b">
        <v>1</v>
      </c>
      <c r="K375" s="159">
        <f t="shared" si="1"/>
        <v>45824</v>
      </c>
      <c r="L375" s="54" t="s">
        <v>36</v>
      </c>
    </row>
    <row r="376">
      <c r="A376" s="29">
        <v>374.0</v>
      </c>
      <c r="B376" s="42" t="s">
        <v>1168</v>
      </c>
      <c r="C376" s="51"/>
      <c r="D376" s="156"/>
      <c r="E376" s="90">
        <v>10173.0</v>
      </c>
      <c r="F376" s="53">
        <v>225.0</v>
      </c>
      <c r="G376" s="80"/>
      <c r="H376" s="55">
        <v>45643.0</v>
      </c>
      <c r="I376" s="58" t="b">
        <v>1</v>
      </c>
      <c r="J376" s="60" t="b">
        <v>1</v>
      </c>
      <c r="K376" s="159">
        <f t="shared" si="1"/>
        <v>45825</v>
      </c>
      <c r="L376" s="54" t="s">
        <v>36</v>
      </c>
    </row>
    <row r="377">
      <c r="A377" s="29">
        <v>375.0</v>
      </c>
      <c r="B377" s="42" t="s">
        <v>1168</v>
      </c>
      <c r="C377" s="51"/>
      <c r="D377" s="156"/>
      <c r="E377" s="90">
        <v>10174.0</v>
      </c>
      <c r="F377" s="53">
        <v>225.0</v>
      </c>
      <c r="G377" s="80"/>
      <c r="H377" s="55">
        <v>45643.0</v>
      </c>
      <c r="I377" s="58" t="b">
        <v>1</v>
      </c>
      <c r="J377" s="60" t="b">
        <v>1</v>
      </c>
      <c r="K377" s="159">
        <f t="shared" si="1"/>
        <v>45825</v>
      </c>
      <c r="L377" s="54" t="s">
        <v>36</v>
      </c>
    </row>
    <row r="378">
      <c r="A378" s="29">
        <v>376.0</v>
      </c>
      <c r="B378" s="42" t="s">
        <v>1170</v>
      </c>
      <c r="C378" s="51"/>
      <c r="D378" s="156"/>
      <c r="E378" s="90">
        <v>10175.0</v>
      </c>
      <c r="F378" s="53">
        <v>225.0</v>
      </c>
      <c r="G378" s="80"/>
      <c r="H378" s="55">
        <v>45643.0</v>
      </c>
      <c r="I378" s="58" t="b">
        <v>1</v>
      </c>
      <c r="J378" s="60" t="b">
        <v>1</v>
      </c>
      <c r="K378" s="159">
        <f t="shared" si="1"/>
        <v>45825</v>
      </c>
      <c r="L378" s="54" t="s">
        <v>36</v>
      </c>
    </row>
    <row r="379">
      <c r="A379" s="29">
        <v>377.0</v>
      </c>
      <c r="B379" s="42" t="s">
        <v>1172</v>
      </c>
      <c r="C379" s="51"/>
      <c r="D379" s="156"/>
      <c r="E379" s="90">
        <v>10176.0</v>
      </c>
      <c r="F379" s="53">
        <v>225.0</v>
      </c>
      <c r="G379" s="80"/>
      <c r="H379" s="55">
        <v>45644.0</v>
      </c>
      <c r="I379" s="58" t="b">
        <v>1</v>
      </c>
      <c r="J379" s="113" t="b">
        <v>0</v>
      </c>
      <c r="K379" s="159">
        <f t="shared" si="1"/>
        <v>45826</v>
      </c>
      <c r="L379" s="54" t="s">
        <v>36</v>
      </c>
    </row>
    <row r="380">
      <c r="A380" s="29">
        <v>378.0</v>
      </c>
      <c r="B380" s="42" t="s">
        <v>1174</v>
      </c>
      <c r="C380" s="51"/>
      <c r="D380" s="156"/>
      <c r="E380" s="90">
        <v>10177.0</v>
      </c>
      <c r="F380" s="53">
        <v>225.0</v>
      </c>
      <c r="G380" s="80"/>
      <c r="H380" s="55">
        <v>45644.0</v>
      </c>
      <c r="I380" s="58" t="b">
        <v>1</v>
      </c>
      <c r="J380" s="113" t="b">
        <v>0</v>
      </c>
      <c r="K380" s="159">
        <f t="shared" si="1"/>
        <v>45826</v>
      </c>
      <c r="L380" s="54" t="s">
        <v>36</v>
      </c>
    </row>
    <row r="381">
      <c r="A381" s="29">
        <v>379.0</v>
      </c>
      <c r="B381" s="42" t="s">
        <v>1175</v>
      </c>
      <c r="C381" s="51"/>
      <c r="D381" s="156"/>
      <c r="E381" s="90">
        <v>10178.0</v>
      </c>
      <c r="F381" s="53">
        <v>225.0</v>
      </c>
      <c r="G381" s="80"/>
      <c r="H381" s="55">
        <v>45644.0</v>
      </c>
      <c r="I381" s="58" t="b">
        <v>1</v>
      </c>
      <c r="J381" s="60" t="b">
        <v>1</v>
      </c>
      <c r="K381" s="159">
        <f t="shared" si="1"/>
        <v>45826</v>
      </c>
      <c r="L381" s="54" t="s">
        <v>36</v>
      </c>
    </row>
    <row r="382">
      <c r="A382" s="29">
        <v>380.0</v>
      </c>
      <c r="B382" s="42" t="s">
        <v>1177</v>
      </c>
      <c r="C382" s="51"/>
      <c r="D382" s="156"/>
      <c r="E382" s="90">
        <v>10179.0</v>
      </c>
      <c r="F382" s="53">
        <v>225.0</v>
      </c>
      <c r="G382" s="80"/>
      <c r="H382" s="55">
        <v>45645.0</v>
      </c>
      <c r="I382" s="58" t="b">
        <v>1</v>
      </c>
      <c r="J382" s="60" t="b">
        <v>1</v>
      </c>
      <c r="K382" s="159">
        <f t="shared" si="1"/>
        <v>45827</v>
      </c>
      <c r="L382" s="54" t="s">
        <v>36</v>
      </c>
    </row>
    <row r="383">
      <c r="A383" s="29">
        <v>381.0</v>
      </c>
      <c r="B383" s="42" t="s">
        <v>1178</v>
      </c>
      <c r="C383" s="51"/>
      <c r="D383" s="156"/>
      <c r="E383" s="90">
        <v>10180.0</v>
      </c>
      <c r="F383" s="53">
        <v>225.0</v>
      </c>
      <c r="G383" s="80"/>
      <c r="H383" s="55">
        <v>45645.0</v>
      </c>
      <c r="I383" s="58" t="b">
        <v>1</v>
      </c>
      <c r="J383" s="60" t="b">
        <v>1</v>
      </c>
      <c r="K383" s="159">
        <f t="shared" si="1"/>
        <v>45827</v>
      </c>
      <c r="L383" s="54" t="s">
        <v>36</v>
      </c>
    </row>
    <row r="384">
      <c r="A384" s="29">
        <v>382.0</v>
      </c>
      <c r="B384" s="42" t="s">
        <v>1179</v>
      </c>
      <c r="C384" s="51"/>
      <c r="D384" s="156"/>
      <c r="E384" s="90">
        <v>10181.0</v>
      </c>
      <c r="F384" s="53">
        <v>225.0</v>
      </c>
      <c r="G384" s="80"/>
      <c r="H384" s="55">
        <v>45646.0</v>
      </c>
      <c r="I384" s="58" t="b">
        <v>1</v>
      </c>
      <c r="J384" s="60" t="b">
        <v>1</v>
      </c>
      <c r="K384" s="159">
        <f t="shared" si="1"/>
        <v>45828</v>
      </c>
      <c r="L384" s="54" t="s">
        <v>36</v>
      </c>
    </row>
    <row r="385">
      <c r="A385" s="29">
        <v>383.0</v>
      </c>
      <c r="B385" s="42" t="s">
        <v>1179</v>
      </c>
      <c r="C385" s="51"/>
      <c r="D385" s="156"/>
      <c r="E385" s="90">
        <v>10182.0</v>
      </c>
      <c r="F385" s="53">
        <v>225.0</v>
      </c>
      <c r="G385" s="42" t="s">
        <v>1181</v>
      </c>
      <c r="H385" s="55">
        <v>45646.0</v>
      </c>
      <c r="I385" s="58" t="b">
        <v>1</v>
      </c>
      <c r="J385" s="60" t="b">
        <v>1</v>
      </c>
      <c r="K385" s="159">
        <f t="shared" si="1"/>
        <v>45828</v>
      </c>
      <c r="L385" s="54" t="s">
        <v>36</v>
      </c>
    </row>
    <row r="386">
      <c r="A386" s="29">
        <v>384.0</v>
      </c>
      <c r="B386" s="42" t="s">
        <v>1182</v>
      </c>
      <c r="C386" s="51"/>
      <c r="D386" s="156"/>
      <c r="E386" s="90">
        <v>10183.0</v>
      </c>
      <c r="F386" s="53">
        <v>225.0</v>
      </c>
      <c r="G386" s="80"/>
      <c r="H386" s="55">
        <v>45646.0</v>
      </c>
      <c r="I386" s="58" t="b">
        <v>1</v>
      </c>
      <c r="J386" s="60" t="b">
        <v>1</v>
      </c>
      <c r="K386" s="159">
        <f t="shared" si="1"/>
        <v>45828</v>
      </c>
      <c r="L386" s="54" t="s">
        <v>36</v>
      </c>
    </row>
    <row r="387">
      <c r="A387" s="29">
        <v>385.0</v>
      </c>
      <c r="B387" s="42" t="s">
        <v>1184</v>
      </c>
      <c r="C387" s="51"/>
      <c r="D387" s="156"/>
      <c r="E387" s="90">
        <v>10184.0</v>
      </c>
      <c r="F387" s="53">
        <v>225.0</v>
      </c>
      <c r="G387" s="80"/>
      <c r="H387" s="55">
        <v>45646.0</v>
      </c>
      <c r="I387" s="58" t="b">
        <v>1</v>
      </c>
      <c r="J387" s="60" t="b">
        <v>1</v>
      </c>
      <c r="K387" s="159">
        <f t="shared" si="1"/>
        <v>45828</v>
      </c>
      <c r="L387" s="54" t="s">
        <v>36</v>
      </c>
    </row>
    <row r="388">
      <c r="A388" s="29">
        <v>386.0</v>
      </c>
      <c r="B388" s="42" t="s">
        <v>1186</v>
      </c>
      <c r="C388" s="51"/>
      <c r="D388" s="156"/>
      <c r="E388" s="90">
        <v>10185.0</v>
      </c>
      <c r="F388" s="53">
        <v>225.0</v>
      </c>
      <c r="G388" s="80"/>
      <c r="H388" s="55">
        <v>45647.0</v>
      </c>
      <c r="I388" s="58" t="b">
        <v>1</v>
      </c>
      <c r="J388" s="60" t="b">
        <v>1</v>
      </c>
      <c r="K388" s="159">
        <f t="shared" si="1"/>
        <v>45829</v>
      </c>
      <c r="L388" s="54" t="s">
        <v>36</v>
      </c>
    </row>
    <row r="389">
      <c r="A389" s="29">
        <v>387.0</v>
      </c>
      <c r="B389" s="42" t="s">
        <v>1187</v>
      </c>
      <c r="C389" s="51"/>
      <c r="D389" s="156"/>
      <c r="E389" s="90">
        <v>10186.0</v>
      </c>
      <c r="F389" s="53">
        <v>225.0</v>
      </c>
      <c r="G389" s="80"/>
      <c r="H389" s="55">
        <v>45647.0</v>
      </c>
      <c r="I389" s="58" t="b">
        <v>1</v>
      </c>
      <c r="J389" s="60" t="b">
        <v>1</v>
      </c>
      <c r="K389" s="159">
        <f t="shared" si="1"/>
        <v>45829</v>
      </c>
      <c r="L389" s="54" t="s">
        <v>36</v>
      </c>
    </row>
    <row r="390">
      <c r="A390" s="29">
        <v>388.0</v>
      </c>
      <c r="B390" s="42" t="s">
        <v>1189</v>
      </c>
      <c r="C390" s="51"/>
      <c r="D390" s="156"/>
      <c r="E390" s="90">
        <v>10187.0</v>
      </c>
      <c r="F390" s="53">
        <v>225.0</v>
      </c>
      <c r="G390" s="80"/>
      <c r="H390" s="55">
        <v>45648.0</v>
      </c>
      <c r="I390" s="58" t="b">
        <v>1</v>
      </c>
      <c r="J390" s="60" t="b">
        <v>1</v>
      </c>
      <c r="K390" s="159">
        <f t="shared" si="1"/>
        <v>45830</v>
      </c>
      <c r="L390" s="54" t="s">
        <v>36</v>
      </c>
    </row>
    <row r="391">
      <c r="A391" s="29">
        <v>389.0</v>
      </c>
      <c r="B391" s="42" t="s">
        <v>1191</v>
      </c>
      <c r="C391" s="51"/>
      <c r="D391" s="156"/>
      <c r="E391" s="90">
        <v>10188.0</v>
      </c>
      <c r="F391" s="53">
        <v>225.0</v>
      </c>
      <c r="G391" s="80"/>
      <c r="H391" s="55">
        <v>45648.0</v>
      </c>
      <c r="I391" s="58" t="b">
        <v>1</v>
      </c>
      <c r="J391" s="60" t="b">
        <v>1</v>
      </c>
      <c r="K391" s="159">
        <f t="shared" si="1"/>
        <v>45830</v>
      </c>
      <c r="L391" s="54" t="s">
        <v>36</v>
      </c>
    </row>
    <row r="392">
      <c r="A392" s="29">
        <v>390.0</v>
      </c>
      <c r="B392" s="42" t="s">
        <v>1192</v>
      </c>
      <c r="C392" s="51"/>
      <c r="D392" s="156"/>
      <c r="E392" s="90">
        <v>10189.0</v>
      </c>
      <c r="F392" s="53">
        <v>225.0</v>
      </c>
      <c r="G392" s="80"/>
      <c r="H392" s="55">
        <v>45648.0</v>
      </c>
      <c r="I392" s="58" t="b">
        <v>1</v>
      </c>
      <c r="J392" s="60" t="b">
        <v>1</v>
      </c>
      <c r="K392" s="159">
        <f t="shared" si="1"/>
        <v>45830</v>
      </c>
      <c r="L392" s="54" t="s">
        <v>36</v>
      </c>
    </row>
    <row r="393">
      <c r="A393" s="29">
        <v>391.0</v>
      </c>
      <c r="B393" s="42" t="s">
        <v>1194</v>
      </c>
      <c r="C393" s="51"/>
      <c r="D393" s="47"/>
      <c r="E393" s="90">
        <v>264.0</v>
      </c>
      <c r="F393" s="53">
        <v>220.0</v>
      </c>
      <c r="G393" s="80"/>
      <c r="H393" s="55">
        <v>45649.0</v>
      </c>
      <c r="I393" s="58" t="b">
        <v>1</v>
      </c>
      <c r="J393" s="60" t="b">
        <v>1</v>
      </c>
      <c r="K393" s="159">
        <f t="shared" si="1"/>
        <v>45831</v>
      </c>
      <c r="L393" s="54" t="s">
        <v>36</v>
      </c>
    </row>
    <row r="394">
      <c r="A394" s="29">
        <v>392.0</v>
      </c>
      <c r="B394" s="42" t="s">
        <v>1195</v>
      </c>
      <c r="C394" s="51"/>
      <c r="D394" s="156"/>
      <c r="E394" s="90">
        <v>10190.0</v>
      </c>
      <c r="F394" s="53">
        <v>225.0</v>
      </c>
      <c r="G394" s="80"/>
      <c r="H394" s="55">
        <v>45649.0</v>
      </c>
      <c r="I394" s="58" t="b">
        <v>1</v>
      </c>
      <c r="J394" s="60" t="b">
        <v>1</v>
      </c>
      <c r="K394" s="159">
        <f t="shared" si="1"/>
        <v>45831</v>
      </c>
      <c r="L394" s="54" t="s">
        <v>36</v>
      </c>
    </row>
    <row r="395">
      <c r="A395" s="29">
        <v>393.0</v>
      </c>
      <c r="B395" s="42" t="s">
        <v>1197</v>
      </c>
      <c r="C395" s="51"/>
      <c r="D395" s="156"/>
      <c r="E395" s="90">
        <v>10191.0</v>
      </c>
      <c r="F395" s="53">
        <v>225.0</v>
      </c>
      <c r="G395" s="80"/>
      <c r="H395" s="55">
        <v>45649.0</v>
      </c>
      <c r="I395" s="58" t="b">
        <v>1</v>
      </c>
      <c r="J395" s="113" t="b">
        <v>0</v>
      </c>
      <c r="K395" s="159">
        <f t="shared" si="1"/>
        <v>45831</v>
      </c>
      <c r="L395" s="54" t="s">
        <v>36</v>
      </c>
    </row>
    <row r="396">
      <c r="A396" s="29">
        <v>394.0</v>
      </c>
      <c r="B396" s="42" t="s">
        <v>1198</v>
      </c>
      <c r="C396" s="51"/>
      <c r="D396" s="156"/>
      <c r="E396" s="90">
        <v>10192.0</v>
      </c>
      <c r="F396" s="53">
        <v>225.0</v>
      </c>
      <c r="G396" s="80"/>
      <c r="H396" s="55">
        <v>45649.0</v>
      </c>
      <c r="I396" s="58" t="b">
        <v>1</v>
      </c>
      <c r="J396" s="60" t="b">
        <v>1</v>
      </c>
      <c r="K396" s="159">
        <f t="shared" si="1"/>
        <v>45831</v>
      </c>
      <c r="L396" s="54" t="s">
        <v>36</v>
      </c>
    </row>
    <row r="397">
      <c r="A397" s="29">
        <v>395.0</v>
      </c>
      <c r="B397" s="42" t="s">
        <v>1199</v>
      </c>
      <c r="C397" s="51"/>
      <c r="D397" s="156"/>
      <c r="E397" s="90">
        <v>10193.0</v>
      </c>
      <c r="F397" s="53">
        <v>225.0</v>
      </c>
      <c r="G397" s="80"/>
      <c r="H397" s="55">
        <v>45649.0</v>
      </c>
      <c r="I397" s="58" t="b">
        <v>1</v>
      </c>
      <c r="J397" s="60" t="b">
        <v>1</v>
      </c>
      <c r="K397" s="159">
        <f t="shared" si="1"/>
        <v>45831</v>
      </c>
      <c r="L397" s="54" t="s">
        <v>36</v>
      </c>
    </row>
    <row r="398">
      <c r="A398" s="29">
        <v>396.0</v>
      </c>
      <c r="B398" s="42" t="s">
        <v>1201</v>
      </c>
      <c r="C398" s="51"/>
      <c r="D398" s="156"/>
      <c r="E398" s="90">
        <v>10194.0</v>
      </c>
      <c r="F398" s="53">
        <v>225.0</v>
      </c>
      <c r="G398" s="80"/>
      <c r="H398" s="55">
        <v>45649.0</v>
      </c>
      <c r="I398" s="58" t="b">
        <v>1</v>
      </c>
      <c r="J398" s="60" t="b">
        <v>1</v>
      </c>
      <c r="K398" s="159">
        <f t="shared" si="1"/>
        <v>45831</v>
      </c>
      <c r="L398" s="54" t="s">
        <v>36</v>
      </c>
    </row>
    <row r="399">
      <c r="A399" s="29">
        <v>397.0</v>
      </c>
      <c r="B399" s="42" t="s">
        <v>1203</v>
      </c>
      <c r="C399" s="51"/>
      <c r="D399" s="156"/>
      <c r="E399" s="90">
        <v>10195.0</v>
      </c>
      <c r="F399" s="53">
        <v>225.0</v>
      </c>
      <c r="G399" s="80"/>
      <c r="H399" s="55">
        <v>45649.0</v>
      </c>
      <c r="I399" s="58" t="b">
        <v>1</v>
      </c>
      <c r="J399" s="60" t="b">
        <v>1</v>
      </c>
      <c r="K399" s="159">
        <f t="shared" si="1"/>
        <v>45831</v>
      </c>
      <c r="L399" s="54" t="s">
        <v>36</v>
      </c>
    </row>
    <row r="400">
      <c r="A400" s="29">
        <v>398.0</v>
      </c>
      <c r="B400" s="42" t="s">
        <v>867</v>
      </c>
      <c r="C400" s="51"/>
      <c r="D400" s="156"/>
      <c r="E400" s="90">
        <v>10196.0</v>
      </c>
      <c r="F400" s="53">
        <v>225.0</v>
      </c>
      <c r="G400" s="80"/>
      <c r="H400" s="55">
        <v>45650.0</v>
      </c>
      <c r="I400" s="58" t="b">
        <v>1</v>
      </c>
      <c r="J400" s="113" t="b">
        <v>0</v>
      </c>
      <c r="K400" s="159">
        <f t="shared" si="1"/>
        <v>45832</v>
      </c>
      <c r="L400" s="54" t="s">
        <v>36</v>
      </c>
    </row>
    <row r="401">
      <c r="A401" s="29">
        <v>399.0</v>
      </c>
      <c r="B401" s="42" t="s">
        <v>1204</v>
      </c>
      <c r="C401" s="51"/>
      <c r="D401" s="156"/>
      <c r="E401" s="90">
        <v>10197.0</v>
      </c>
      <c r="F401" s="53">
        <v>225.0</v>
      </c>
      <c r="G401" s="80"/>
      <c r="H401" s="55">
        <v>45650.0</v>
      </c>
      <c r="I401" s="58" t="b">
        <v>1</v>
      </c>
      <c r="J401" s="113" t="b">
        <v>0</v>
      </c>
      <c r="K401" s="159">
        <f t="shared" si="1"/>
        <v>45832</v>
      </c>
      <c r="L401" s="54" t="s">
        <v>36</v>
      </c>
    </row>
    <row r="402">
      <c r="A402" s="29">
        <v>400.0</v>
      </c>
      <c r="B402" s="42" t="s">
        <v>1206</v>
      </c>
      <c r="C402" s="51"/>
      <c r="D402" s="156"/>
      <c r="E402" s="90">
        <v>10198.0</v>
      </c>
      <c r="F402" s="53">
        <v>225.0</v>
      </c>
      <c r="G402" s="80"/>
      <c r="H402" s="55">
        <v>45650.0</v>
      </c>
      <c r="I402" s="58" t="b">
        <v>1</v>
      </c>
      <c r="J402" s="60" t="b">
        <v>1</v>
      </c>
      <c r="K402" s="159">
        <f t="shared" si="1"/>
        <v>45832</v>
      </c>
      <c r="L402" s="54" t="s">
        <v>36</v>
      </c>
    </row>
    <row r="403">
      <c r="A403" s="29">
        <v>401.0</v>
      </c>
      <c r="B403" s="42" t="s">
        <v>1209</v>
      </c>
      <c r="C403" s="51"/>
      <c r="D403" s="156"/>
      <c r="E403" s="90">
        <v>10199.0</v>
      </c>
      <c r="F403" s="53">
        <v>225.0</v>
      </c>
      <c r="G403" s="80"/>
      <c r="H403" s="55">
        <v>45650.0</v>
      </c>
      <c r="I403" s="58" t="b">
        <v>1</v>
      </c>
      <c r="J403" s="60" t="b">
        <v>1</v>
      </c>
      <c r="K403" s="159">
        <f t="shared" si="1"/>
        <v>45832</v>
      </c>
      <c r="L403" s="54" t="s">
        <v>36</v>
      </c>
    </row>
    <row r="404">
      <c r="A404" s="29">
        <v>402.0</v>
      </c>
      <c r="B404" s="42" t="s">
        <v>1210</v>
      </c>
      <c r="C404" s="51"/>
      <c r="D404" s="156"/>
      <c r="E404" s="90">
        <v>10200.0</v>
      </c>
      <c r="F404" s="53">
        <v>225.0</v>
      </c>
      <c r="G404" s="80"/>
      <c r="H404" s="55">
        <v>45651.0</v>
      </c>
      <c r="I404" s="58" t="b">
        <v>1</v>
      </c>
      <c r="J404" s="60" t="b">
        <v>1</v>
      </c>
      <c r="K404" s="159">
        <f t="shared" si="1"/>
        <v>45833</v>
      </c>
      <c r="L404" s="54" t="s">
        <v>36</v>
      </c>
    </row>
    <row r="405">
      <c r="A405" s="29">
        <v>403.0</v>
      </c>
      <c r="B405" s="42" t="s">
        <v>1212</v>
      </c>
      <c r="C405" s="51"/>
      <c r="D405" s="156"/>
      <c r="E405" s="90">
        <v>10201.0</v>
      </c>
      <c r="F405" s="53">
        <v>225.0</v>
      </c>
      <c r="G405" s="80"/>
      <c r="H405" s="55">
        <v>45652.0</v>
      </c>
      <c r="I405" s="58" t="b">
        <v>1</v>
      </c>
      <c r="J405" s="60" t="b">
        <v>1</v>
      </c>
      <c r="K405" s="159">
        <f t="shared" si="1"/>
        <v>45834</v>
      </c>
      <c r="L405" s="54" t="s">
        <v>36</v>
      </c>
    </row>
    <row r="406">
      <c r="A406" s="29">
        <v>404.0</v>
      </c>
      <c r="B406" s="42" t="s">
        <v>1213</v>
      </c>
      <c r="C406" s="51"/>
      <c r="D406" s="156"/>
      <c r="E406" s="90">
        <v>10202.0</v>
      </c>
      <c r="F406" s="53">
        <v>225.0</v>
      </c>
      <c r="G406" s="42" t="s">
        <v>1215</v>
      </c>
      <c r="H406" s="55">
        <v>45652.0</v>
      </c>
      <c r="I406" s="58" t="b">
        <v>1</v>
      </c>
      <c r="J406" s="60" t="b">
        <v>1</v>
      </c>
      <c r="K406" s="159">
        <f t="shared" si="1"/>
        <v>45834</v>
      </c>
      <c r="L406" s="54" t="s">
        <v>36</v>
      </c>
    </row>
    <row r="407">
      <c r="A407" s="29">
        <v>405.0</v>
      </c>
      <c r="B407" s="42" t="s">
        <v>1217</v>
      </c>
      <c r="C407" s="51"/>
      <c r="D407" s="156"/>
      <c r="E407" s="90">
        <v>10203.0</v>
      </c>
      <c r="F407" s="53">
        <v>225.0</v>
      </c>
      <c r="G407" s="80"/>
      <c r="H407" s="55">
        <v>45653.0</v>
      </c>
      <c r="I407" s="58" t="b">
        <v>1</v>
      </c>
      <c r="J407" s="60" t="b">
        <v>1</v>
      </c>
      <c r="K407" s="159">
        <f t="shared" si="1"/>
        <v>45835</v>
      </c>
      <c r="L407" s="54" t="s">
        <v>36</v>
      </c>
    </row>
    <row r="408">
      <c r="A408" s="29">
        <v>406.0</v>
      </c>
      <c r="B408" s="42" t="s">
        <v>1219</v>
      </c>
      <c r="C408" s="51"/>
      <c r="D408" s="156"/>
      <c r="E408" s="90">
        <v>10204.0</v>
      </c>
      <c r="F408" s="53">
        <v>225.0</v>
      </c>
      <c r="G408" s="80"/>
      <c r="H408" s="55">
        <v>45654.0</v>
      </c>
      <c r="I408" s="58" t="b">
        <v>1</v>
      </c>
      <c r="J408" s="60" t="b">
        <v>1</v>
      </c>
      <c r="K408" s="159">
        <f t="shared" si="1"/>
        <v>45836</v>
      </c>
      <c r="L408" s="54" t="s">
        <v>36</v>
      </c>
    </row>
    <row r="409">
      <c r="A409" s="29">
        <v>407.0</v>
      </c>
      <c r="B409" s="42" t="s">
        <v>1222</v>
      </c>
      <c r="C409" s="51"/>
      <c r="D409" s="156"/>
      <c r="E409" s="90">
        <v>10205.0</v>
      </c>
      <c r="F409" s="53">
        <v>225.0</v>
      </c>
      <c r="G409" s="80"/>
      <c r="H409" s="55">
        <v>45655.0</v>
      </c>
      <c r="I409" s="58" t="b">
        <v>1</v>
      </c>
      <c r="J409" s="60" t="b">
        <v>1</v>
      </c>
      <c r="K409" s="159">
        <f t="shared" si="1"/>
        <v>45837</v>
      </c>
      <c r="L409" s="54" t="s">
        <v>36</v>
      </c>
    </row>
    <row r="410">
      <c r="A410" s="29">
        <v>408.0</v>
      </c>
      <c r="B410" s="42" t="s">
        <v>1224</v>
      </c>
      <c r="C410" s="51"/>
      <c r="D410" s="156"/>
      <c r="E410" s="90">
        <v>10206.0</v>
      </c>
      <c r="F410" s="53">
        <v>225.0</v>
      </c>
      <c r="G410" s="80"/>
      <c r="H410" s="55">
        <v>45659.0</v>
      </c>
      <c r="I410" s="58" t="b">
        <v>1</v>
      </c>
      <c r="J410" s="60" t="b">
        <v>1</v>
      </c>
      <c r="K410" s="159">
        <f t="shared" si="1"/>
        <v>45840</v>
      </c>
      <c r="L410" s="54" t="s">
        <v>36</v>
      </c>
    </row>
    <row r="411">
      <c r="A411" s="29">
        <v>409.0</v>
      </c>
      <c r="B411" s="42" t="s">
        <v>1227</v>
      </c>
      <c r="C411" s="51"/>
      <c r="D411" s="156"/>
      <c r="E411" s="90">
        <v>10207.0</v>
      </c>
      <c r="F411" s="53">
        <v>225.0</v>
      </c>
      <c r="G411" s="80"/>
      <c r="H411" s="55">
        <v>45659.0</v>
      </c>
      <c r="I411" s="58" t="b">
        <v>1</v>
      </c>
      <c r="J411" s="60" t="b">
        <v>1</v>
      </c>
      <c r="K411" s="159">
        <f t="shared" si="1"/>
        <v>45840</v>
      </c>
      <c r="L411" s="54" t="s">
        <v>36</v>
      </c>
    </row>
    <row r="412">
      <c r="A412" s="29">
        <v>410.0</v>
      </c>
      <c r="B412" s="42" t="s">
        <v>1230</v>
      </c>
      <c r="C412" s="51"/>
      <c r="D412" s="156"/>
      <c r="E412" s="90">
        <v>10208.0</v>
      </c>
      <c r="F412" s="53">
        <v>225.0</v>
      </c>
      <c r="G412" s="80"/>
      <c r="H412" s="55">
        <v>45659.0</v>
      </c>
      <c r="I412" s="58" t="b">
        <v>1</v>
      </c>
      <c r="J412" s="60" t="b">
        <v>1</v>
      </c>
      <c r="K412" s="159">
        <f t="shared" si="1"/>
        <v>45840</v>
      </c>
      <c r="L412" s="54" t="s">
        <v>36</v>
      </c>
    </row>
    <row r="413">
      <c r="A413" s="29">
        <v>411.0</v>
      </c>
      <c r="B413" s="42" t="s">
        <v>1231</v>
      </c>
      <c r="C413" s="51"/>
      <c r="D413" s="156"/>
      <c r="E413" s="90">
        <v>10209.0</v>
      </c>
      <c r="F413" s="53">
        <v>225.0</v>
      </c>
      <c r="G413" s="80"/>
      <c r="H413" s="55">
        <v>45659.0</v>
      </c>
      <c r="I413" s="58" t="b">
        <v>1</v>
      </c>
      <c r="J413" s="60" t="b">
        <v>1</v>
      </c>
      <c r="K413" s="159">
        <f t="shared" si="1"/>
        <v>45840</v>
      </c>
      <c r="L413" s="54" t="s">
        <v>36</v>
      </c>
    </row>
    <row r="414">
      <c r="A414" s="29">
        <v>412.0</v>
      </c>
      <c r="B414" s="42" t="s">
        <v>1232</v>
      </c>
      <c r="C414" s="51"/>
      <c r="D414" s="156"/>
      <c r="E414" s="90">
        <v>10210.0</v>
      </c>
      <c r="F414" s="53">
        <v>225.0</v>
      </c>
      <c r="G414" s="80"/>
      <c r="H414" s="55">
        <v>45659.0</v>
      </c>
      <c r="I414" s="58" t="b">
        <v>1</v>
      </c>
      <c r="J414" s="60" t="b">
        <v>1</v>
      </c>
      <c r="K414" s="159">
        <f t="shared" si="1"/>
        <v>45840</v>
      </c>
      <c r="L414" s="54" t="s">
        <v>36</v>
      </c>
    </row>
    <row r="415">
      <c r="A415" s="29">
        <v>413.0</v>
      </c>
      <c r="B415" s="42" t="s">
        <v>1233</v>
      </c>
      <c r="C415" s="51"/>
      <c r="D415" s="156"/>
      <c r="E415" s="90">
        <v>10211.0</v>
      </c>
      <c r="F415" s="53">
        <v>225.0</v>
      </c>
      <c r="G415" s="80"/>
      <c r="H415" s="55">
        <v>45659.0</v>
      </c>
      <c r="I415" s="58" t="b">
        <v>1</v>
      </c>
      <c r="J415" s="60" t="b">
        <v>1</v>
      </c>
      <c r="K415" s="159">
        <f t="shared" si="1"/>
        <v>45840</v>
      </c>
      <c r="L415" s="54" t="s">
        <v>36</v>
      </c>
    </row>
    <row r="416">
      <c r="A416" s="29">
        <v>414.0</v>
      </c>
      <c r="B416" s="42" t="s">
        <v>1234</v>
      </c>
      <c r="C416" s="51"/>
      <c r="D416" s="156"/>
      <c r="E416" s="90">
        <v>10212.0</v>
      </c>
      <c r="F416" s="53">
        <v>225.0</v>
      </c>
      <c r="G416" s="80"/>
      <c r="H416" s="55">
        <v>45659.0</v>
      </c>
      <c r="I416" s="58" t="b">
        <v>1</v>
      </c>
      <c r="J416" s="60" t="b">
        <v>1</v>
      </c>
      <c r="K416" s="159">
        <f t="shared" si="1"/>
        <v>45840</v>
      </c>
      <c r="L416" s="54" t="s">
        <v>36</v>
      </c>
    </row>
    <row r="417">
      <c r="A417" s="29">
        <v>415.0</v>
      </c>
      <c r="B417" s="42" t="s">
        <v>1235</v>
      </c>
      <c r="C417" s="51"/>
      <c r="D417" s="156"/>
      <c r="E417" s="90">
        <v>10213.0</v>
      </c>
      <c r="F417" s="53">
        <v>225.0</v>
      </c>
      <c r="G417" s="80"/>
      <c r="H417" s="55">
        <v>45659.0</v>
      </c>
      <c r="I417" s="58" t="b">
        <v>1</v>
      </c>
      <c r="J417" s="60" t="b">
        <v>1</v>
      </c>
      <c r="K417" s="159">
        <f t="shared" si="1"/>
        <v>45840</v>
      </c>
      <c r="L417" s="54" t="s">
        <v>36</v>
      </c>
    </row>
    <row r="418">
      <c r="A418" s="29">
        <v>416.0</v>
      </c>
      <c r="B418" s="42" t="s">
        <v>1236</v>
      </c>
      <c r="C418" s="51"/>
      <c r="D418" s="156"/>
      <c r="E418" s="90">
        <v>10214.0</v>
      </c>
      <c r="F418" s="53">
        <v>225.0</v>
      </c>
      <c r="G418" s="80"/>
      <c r="H418" s="55">
        <v>45659.0</v>
      </c>
      <c r="I418" s="58" t="b">
        <v>1</v>
      </c>
      <c r="J418" s="60" t="b">
        <v>1</v>
      </c>
      <c r="K418" s="159">
        <f t="shared" si="1"/>
        <v>45840</v>
      </c>
      <c r="L418" s="54" t="s">
        <v>36</v>
      </c>
    </row>
    <row r="419">
      <c r="A419" s="29">
        <v>417.0</v>
      </c>
      <c r="B419" s="42" t="s">
        <v>1237</v>
      </c>
      <c r="C419" s="51"/>
      <c r="D419" s="156"/>
      <c r="E419" s="90">
        <v>10215.0</v>
      </c>
      <c r="F419" s="53">
        <v>225.0</v>
      </c>
      <c r="G419" s="80"/>
      <c r="H419" s="55">
        <v>45660.0</v>
      </c>
      <c r="I419" s="58" t="b">
        <v>1</v>
      </c>
      <c r="J419" s="60" t="b">
        <v>1</v>
      </c>
      <c r="K419" s="159">
        <f t="shared" si="1"/>
        <v>45841</v>
      </c>
      <c r="L419" s="54" t="s">
        <v>36</v>
      </c>
    </row>
    <row r="420">
      <c r="A420" s="29">
        <v>418.0</v>
      </c>
      <c r="B420" s="42" t="s">
        <v>1238</v>
      </c>
      <c r="C420" s="51"/>
      <c r="D420" s="156"/>
      <c r="E420" s="90">
        <v>10216.0</v>
      </c>
      <c r="F420" s="53">
        <v>225.0</v>
      </c>
      <c r="G420" s="80"/>
      <c r="H420" s="55">
        <v>45660.0</v>
      </c>
      <c r="I420" s="58" t="b">
        <v>1</v>
      </c>
      <c r="J420" s="113" t="b">
        <v>0</v>
      </c>
      <c r="K420" s="159">
        <f t="shared" si="1"/>
        <v>45841</v>
      </c>
      <c r="L420" s="54" t="s">
        <v>36</v>
      </c>
    </row>
    <row r="421">
      <c r="A421" s="29">
        <v>419.0</v>
      </c>
      <c r="B421" s="42" t="s">
        <v>1238</v>
      </c>
      <c r="C421" s="51"/>
      <c r="D421" s="156"/>
      <c r="E421" s="90">
        <v>10217.0</v>
      </c>
      <c r="F421" s="53">
        <v>225.0</v>
      </c>
      <c r="G421" s="80"/>
      <c r="H421" s="55">
        <v>45660.0</v>
      </c>
      <c r="I421" s="58" t="b">
        <v>1</v>
      </c>
      <c r="J421" s="60" t="b">
        <v>1</v>
      </c>
      <c r="K421" s="159">
        <f t="shared" si="1"/>
        <v>45841</v>
      </c>
      <c r="L421" s="54" t="s">
        <v>36</v>
      </c>
    </row>
    <row r="422">
      <c r="A422" s="29">
        <v>420.0</v>
      </c>
      <c r="B422" s="42" t="s">
        <v>1240</v>
      </c>
      <c r="C422" s="51"/>
      <c r="D422" s="156"/>
      <c r="E422" s="90">
        <v>10218.0</v>
      </c>
      <c r="F422" s="53">
        <v>225.0</v>
      </c>
      <c r="G422" s="80"/>
      <c r="H422" s="55">
        <v>45660.0</v>
      </c>
      <c r="I422" s="58" t="b">
        <v>1</v>
      </c>
      <c r="J422" s="60" t="b">
        <v>1</v>
      </c>
      <c r="K422" s="159">
        <f t="shared" si="1"/>
        <v>45841</v>
      </c>
      <c r="L422" s="54" t="s">
        <v>36</v>
      </c>
    </row>
    <row r="423">
      <c r="A423" s="29">
        <v>421.0</v>
      </c>
      <c r="B423" s="42" t="s">
        <v>1241</v>
      </c>
      <c r="C423" s="51"/>
      <c r="D423" s="156"/>
      <c r="E423" s="90">
        <v>10219.0</v>
      </c>
      <c r="F423" s="53">
        <v>225.0</v>
      </c>
      <c r="G423" s="80"/>
      <c r="H423" s="55">
        <v>45660.0</v>
      </c>
      <c r="I423" s="58" t="b">
        <v>1</v>
      </c>
      <c r="J423" s="60" t="b">
        <v>1</v>
      </c>
      <c r="K423" s="159">
        <f t="shared" si="1"/>
        <v>45841</v>
      </c>
      <c r="L423" s="54" t="s">
        <v>36</v>
      </c>
    </row>
    <row r="424">
      <c r="A424" s="29">
        <v>422.0</v>
      </c>
      <c r="B424" s="42" t="s">
        <v>1242</v>
      </c>
      <c r="C424" s="47">
        <v>6.75801529E8</v>
      </c>
      <c r="D424" s="156"/>
      <c r="E424" s="90">
        <v>10220.0</v>
      </c>
      <c r="F424" s="53">
        <v>225.0</v>
      </c>
      <c r="G424" s="80"/>
      <c r="H424" s="55">
        <v>45660.0</v>
      </c>
      <c r="I424" s="58" t="b">
        <v>1</v>
      </c>
      <c r="J424" s="113" t="b">
        <v>0</v>
      </c>
      <c r="K424" s="159">
        <f t="shared" si="1"/>
        <v>45841</v>
      </c>
      <c r="L424" s="54" t="s">
        <v>36</v>
      </c>
    </row>
    <row r="425">
      <c r="A425" s="29">
        <v>423.0</v>
      </c>
      <c r="B425" s="42" t="s">
        <v>1243</v>
      </c>
      <c r="C425" s="51"/>
      <c r="D425" s="156"/>
      <c r="E425" s="90">
        <v>10221.0</v>
      </c>
      <c r="F425" s="53">
        <v>225.0</v>
      </c>
      <c r="G425" s="80"/>
      <c r="H425" s="55">
        <v>45660.0</v>
      </c>
      <c r="I425" s="58" t="b">
        <v>1</v>
      </c>
      <c r="J425" s="60" t="b">
        <v>1</v>
      </c>
      <c r="K425" s="159">
        <f t="shared" si="1"/>
        <v>45841</v>
      </c>
      <c r="L425" s="54" t="s">
        <v>36</v>
      </c>
    </row>
    <row r="426">
      <c r="A426" s="29">
        <v>424.0</v>
      </c>
      <c r="B426" s="42" t="s">
        <v>1244</v>
      </c>
      <c r="C426" s="51"/>
      <c r="D426" s="156"/>
      <c r="E426" s="90">
        <v>10222.0</v>
      </c>
      <c r="F426" s="53">
        <v>225.0</v>
      </c>
      <c r="G426" s="80"/>
      <c r="H426" s="55">
        <v>45660.0</v>
      </c>
      <c r="I426" s="58" t="b">
        <v>1</v>
      </c>
      <c r="J426" s="60" t="b">
        <v>1</v>
      </c>
      <c r="K426" s="159">
        <f t="shared" si="1"/>
        <v>45841</v>
      </c>
      <c r="L426" s="54" t="s">
        <v>36</v>
      </c>
    </row>
    <row r="427">
      <c r="A427" s="29">
        <v>425.0</v>
      </c>
      <c r="B427" s="42" t="s">
        <v>1245</v>
      </c>
      <c r="C427" s="51"/>
      <c r="D427" s="156"/>
      <c r="E427" s="90">
        <v>10223.0</v>
      </c>
      <c r="F427" s="53">
        <v>225.0</v>
      </c>
      <c r="G427" s="80"/>
      <c r="H427" s="55">
        <v>45662.0</v>
      </c>
      <c r="I427" s="58" t="b">
        <v>1</v>
      </c>
      <c r="J427" s="60" t="b">
        <v>1</v>
      </c>
      <c r="K427" s="159">
        <f t="shared" si="1"/>
        <v>45843</v>
      </c>
      <c r="L427" s="54" t="s">
        <v>36</v>
      </c>
    </row>
    <row r="428">
      <c r="A428" s="29">
        <v>426.0</v>
      </c>
      <c r="B428" s="42" t="s">
        <v>1246</v>
      </c>
      <c r="C428" s="51"/>
      <c r="D428" s="156"/>
      <c r="E428" s="90">
        <v>10224.0</v>
      </c>
      <c r="F428" s="53">
        <v>225.0</v>
      </c>
      <c r="G428" s="80"/>
      <c r="H428" s="55">
        <v>45662.0</v>
      </c>
      <c r="I428" s="58" t="b">
        <v>1</v>
      </c>
      <c r="J428" s="60" t="b">
        <v>1</v>
      </c>
      <c r="K428" s="159">
        <f t="shared" si="1"/>
        <v>45843</v>
      </c>
      <c r="L428" s="54" t="s">
        <v>36</v>
      </c>
    </row>
    <row r="429">
      <c r="A429" s="29">
        <v>427.0</v>
      </c>
      <c r="B429" s="42" t="s">
        <v>1247</v>
      </c>
      <c r="C429" s="51"/>
      <c r="D429" s="156"/>
      <c r="E429" s="90">
        <v>10225.0</v>
      </c>
      <c r="F429" s="53">
        <v>225.0</v>
      </c>
      <c r="G429" s="80"/>
      <c r="H429" s="55">
        <v>45663.0</v>
      </c>
      <c r="I429" s="58" t="b">
        <v>1</v>
      </c>
      <c r="J429" s="60" t="b">
        <v>1</v>
      </c>
      <c r="K429" s="159">
        <f t="shared" si="1"/>
        <v>45844</v>
      </c>
      <c r="L429" s="54" t="s">
        <v>36</v>
      </c>
    </row>
    <row r="430">
      <c r="A430" s="29">
        <v>428.0</v>
      </c>
      <c r="B430" s="42" t="s">
        <v>1248</v>
      </c>
      <c r="C430" s="51"/>
      <c r="D430" s="156"/>
      <c r="E430" s="90">
        <v>10226.0</v>
      </c>
      <c r="F430" s="53">
        <v>225.0</v>
      </c>
      <c r="G430" s="80"/>
      <c r="H430" s="55">
        <v>45663.0</v>
      </c>
      <c r="I430" s="58" t="b">
        <v>1</v>
      </c>
      <c r="J430" s="60" t="b">
        <v>0</v>
      </c>
      <c r="K430" s="159">
        <f t="shared" si="1"/>
        <v>45844</v>
      </c>
      <c r="L430" s="54" t="s">
        <v>36</v>
      </c>
    </row>
    <row r="431">
      <c r="A431" s="29">
        <v>429.0</v>
      </c>
      <c r="B431" s="42" t="s">
        <v>1250</v>
      </c>
      <c r="C431" s="51"/>
      <c r="D431" s="156"/>
      <c r="E431" s="90">
        <v>10227.0</v>
      </c>
      <c r="F431" s="53">
        <v>225.0</v>
      </c>
      <c r="G431" s="80"/>
      <c r="H431" s="119">
        <v>45663.0</v>
      </c>
      <c r="I431" s="58" t="b">
        <v>1</v>
      </c>
      <c r="J431" s="60" t="b">
        <v>1</v>
      </c>
      <c r="K431" s="159">
        <f t="shared" si="1"/>
        <v>45844</v>
      </c>
      <c r="L431" s="54" t="s">
        <v>36</v>
      </c>
    </row>
    <row r="432">
      <c r="A432" s="29">
        <v>430.0</v>
      </c>
      <c r="B432" s="42" t="s">
        <v>1251</v>
      </c>
      <c r="C432" s="51"/>
      <c r="D432" s="156"/>
      <c r="E432" s="90">
        <v>10228.0</v>
      </c>
      <c r="F432" s="53">
        <v>225.0</v>
      </c>
      <c r="G432" s="80"/>
      <c r="H432" s="55">
        <v>45664.0</v>
      </c>
      <c r="I432" s="58" t="b">
        <v>1</v>
      </c>
      <c r="J432" s="60" t="b">
        <v>1</v>
      </c>
      <c r="K432" s="159">
        <f t="shared" si="1"/>
        <v>45845</v>
      </c>
      <c r="L432" s="54" t="s">
        <v>36</v>
      </c>
    </row>
    <row r="433">
      <c r="A433" s="29">
        <v>431.0</v>
      </c>
      <c r="B433" s="42" t="s">
        <v>1253</v>
      </c>
      <c r="C433" s="51"/>
      <c r="D433" s="156"/>
      <c r="E433" s="90">
        <v>10229.0</v>
      </c>
      <c r="F433" s="53">
        <v>225.0</v>
      </c>
      <c r="G433" s="80"/>
      <c r="H433" s="55">
        <v>45664.0</v>
      </c>
      <c r="I433" s="58" t="b">
        <v>1</v>
      </c>
      <c r="J433" s="60" t="b">
        <v>1</v>
      </c>
      <c r="K433" s="159">
        <f t="shared" si="1"/>
        <v>45845</v>
      </c>
      <c r="L433" s="54" t="s">
        <v>36</v>
      </c>
    </row>
    <row r="434">
      <c r="A434" s="29">
        <v>432.0</v>
      </c>
      <c r="B434" s="42" t="s">
        <v>1255</v>
      </c>
      <c r="C434" s="51"/>
      <c r="D434" s="156"/>
      <c r="E434" s="90">
        <v>10230.0</v>
      </c>
      <c r="F434" s="53">
        <v>225.0</v>
      </c>
      <c r="G434" s="80"/>
      <c r="H434" s="55">
        <v>45665.0</v>
      </c>
      <c r="I434" s="58" t="b">
        <v>1</v>
      </c>
      <c r="J434" s="60" t="b">
        <v>1</v>
      </c>
      <c r="K434" s="159">
        <f t="shared" si="1"/>
        <v>45846</v>
      </c>
      <c r="L434" s="54" t="s">
        <v>36</v>
      </c>
    </row>
    <row r="435">
      <c r="A435" s="29">
        <v>433.0</v>
      </c>
      <c r="B435" s="42" t="s">
        <v>1257</v>
      </c>
      <c r="C435" s="51"/>
      <c r="D435" s="156"/>
      <c r="E435" s="90">
        <v>10231.0</v>
      </c>
      <c r="F435" s="53">
        <v>225.0</v>
      </c>
      <c r="G435" s="42" t="s">
        <v>1258</v>
      </c>
      <c r="H435" s="55">
        <v>45666.0</v>
      </c>
      <c r="I435" s="58" t="b">
        <v>1</v>
      </c>
      <c r="J435" s="60" t="b">
        <v>1</v>
      </c>
      <c r="K435" s="159">
        <f t="shared" si="1"/>
        <v>45847</v>
      </c>
      <c r="L435" s="54" t="s">
        <v>36</v>
      </c>
    </row>
    <row r="436">
      <c r="A436" s="29">
        <v>434.0</v>
      </c>
      <c r="B436" s="42" t="s">
        <v>1260</v>
      </c>
      <c r="C436" s="51"/>
      <c r="D436" s="156"/>
      <c r="E436" s="90">
        <v>10232.0</v>
      </c>
      <c r="F436" s="53">
        <v>225.0</v>
      </c>
      <c r="G436" s="80"/>
      <c r="H436" s="55">
        <v>45668.0</v>
      </c>
      <c r="I436" s="58" t="b">
        <v>1</v>
      </c>
      <c r="J436" s="60" t="b">
        <v>1</v>
      </c>
      <c r="K436" s="159">
        <f t="shared" si="1"/>
        <v>45849</v>
      </c>
      <c r="L436" s="54" t="s">
        <v>36</v>
      </c>
    </row>
    <row r="437">
      <c r="A437" s="29">
        <v>435.0</v>
      </c>
      <c r="B437" s="42" t="s">
        <v>1262</v>
      </c>
      <c r="C437" s="51"/>
      <c r="D437" s="156"/>
      <c r="E437" s="90">
        <v>10233.0</v>
      </c>
      <c r="F437" s="53">
        <v>225.0</v>
      </c>
      <c r="G437" s="80"/>
      <c r="H437" s="55">
        <v>45669.0</v>
      </c>
      <c r="I437" s="58" t="b">
        <v>1</v>
      </c>
      <c r="J437" s="113" t="b">
        <v>0</v>
      </c>
      <c r="K437" s="159">
        <f t="shared" si="1"/>
        <v>45850</v>
      </c>
      <c r="L437" s="54" t="s">
        <v>36</v>
      </c>
    </row>
    <row r="438">
      <c r="A438" s="29">
        <v>436.0</v>
      </c>
      <c r="B438" s="42" t="s">
        <v>1264</v>
      </c>
      <c r="C438" s="51"/>
      <c r="D438" s="156"/>
      <c r="E438" s="90">
        <v>10234.0</v>
      </c>
      <c r="F438" s="53">
        <v>225.0</v>
      </c>
      <c r="G438" s="80"/>
      <c r="H438" s="55">
        <v>45671.0</v>
      </c>
      <c r="I438" s="58" t="b">
        <v>1</v>
      </c>
      <c r="J438" s="60" t="b">
        <v>1</v>
      </c>
      <c r="K438" s="159">
        <f t="shared" si="1"/>
        <v>45852</v>
      </c>
      <c r="L438" s="54" t="s">
        <v>36</v>
      </c>
    </row>
    <row r="439">
      <c r="A439" s="29">
        <v>437.0</v>
      </c>
      <c r="B439" s="42" t="s">
        <v>1265</v>
      </c>
      <c r="C439" s="51"/>
      <c r="D439" s="156"/>
      <c r="E439" s="90">
        <v>10235.0</v>
      </c>
      <c r="F439" s="53">
        <v>225.0</v>
      </c>
      <c r="G439" s="80"/>
      <c r="H439" s="55">
        <v>45673.0</v>
      </c>
      <c r="I439" s="58" t="b">
        <v>1</v>
      </c>
      <c r="J439" s="60" t="b">
        <v>1</v>
      </c>
      <c r="K439" s="159">
        <f t="shared" si="1"/>
        <v>45854</v>
      </c>
      <c r="L439" s="54" t="s">
        <v>36</v>
      </c>
    </row>
    <row r="440">
      <c r="A440" s="29">
        <v>438.0</v>
      </c>
      <c r="B440" s="42" t="s">
        <v>1268</v>
      </c>
      <c r="C440" s="51"/>
      <c r="D440" s="156"/>
      <c r="E440" s="90">
        <v>10236.0</v>
      </c>
      <c r="F440" s="53">
        <v>225.0</v>
      </c>
      <c r="G440" s="80"/>
      <c r="H440" s="55">
        <v>45673.0</v>
      </c>
      <c r="I440" s="58" t="b">
        <v>1</v>
      </c>
      <c r="J440" s="60" t="b">
        <v>1</v>
      </c>
      <c r="K440" s="159">
        <f t="shared" si="1"/>
        <v>45854</v>
      </c>
      <c r="L440" s="54" t="s">
        <v>36</v>
      </c>
    </row>
    <row r="441">
      <c r="A441" s="29">
        <v>439.0</v>
      </c>
      <c r="B441" s="42" t="s">
        <v>1271</v>
      </c>
      <c r="C441" s="51"/>
      <c r="D441" s="156"/>
      <c r="E441" s="90">
        <v>10237.0</v>
      </c>
      <c r="F441" s="53">
        <v>225.0</v>
      </c>
      <c r="G441" s="80"/>
      <c r="H441" s="55">
        <v>45673.0</v>
      </c>
      <c r="I441" s="58" t="b">
        <v>1</v>
      </c>
      <c r="J441" s="60" t="b">
        <v>1</v>
      </c>
      <c r="K441" s="159">
        <f t="shared" si="1"/>
        <v>45854</v>
      </c>
      <c r="L441" s="54" t="s">
        <v>36</v>
      </c>
    </row>
    <row r="442">
      <c r="A442" s="29">
        <v>440.0</v>
      </c>
      <c r="B442" s="42" t="s">
        <v>1274</v>
      </c>
      <c r="C442" s="51"/>
      <c r="D442" s="156"/>
      <c r="E442" s="90">
        <v>10238.0</v>
      </c>
      <c r="F442" s="53">
        <v>225.0</v>
      </c>
      <c r="G442" s="42" t="s">
        <v>1275</v>
      </c>
      <c r="H442" s="55">
        <v>45674.0</v>
      </c>
      <c r="I442" s="58" t="b">
        <v>1</v>
      </c>
      <c r="J442" s="60" t="b">
        <v>1</v>
      </c>
      <c r="K442" s="159">
        <f t="shared" si="1"/>
        <v>45855</v>
      </c>
      <c r="L442" s="54" t="s">
        <v>36</v>
      </c>
    </row>
    <row r="443">
      <c r="A443" s="29">
        <v>441.0</v>
      </c>
      <c r="B443" s="42" t="s">
        <v>998</v>
      </c>
      <c r="C443" s="51"/>
      <c r="D443" s="156"/>
      <c r="E443" s="90">
        <v>10239.0</v>
      </c>
      <c r="F443" s="53">
        <v>225.0</v>
      </c>
      <c r="G443" s="42" t="s">
        <v>1278</v>
      </c>
      <c r="H443" s="55">
        <v>45677.0</v>
      </c>
      <c r="I443" s="58" t="b">
        <v>1</v>
      </c>
      <c r="J443" s="60" t="b">
        <v>1</v>
      </c>
      <c r="K443" s="159">
        <f t="shared" si="1"/>
        <v>45858</v>
      </c>
      <c r="L443" s="54" t="s">
        <v>36</v>
      </c>
    </row>
    <row r="444">
      <c r="A444" s="29">
        <v>442.0</v>
      </c>
      <c r="B444" s="42" t="s">
        <v>1280</v>
      </c>
      <c r="C444" s="51"/>
      <c r="D444" s="156"/>
      <c r="E444" s="90">
        <v>10240.0</v>
      </c>
      <c r="F444" s="53">
        <v>225.0</v>
      </c>
      <c r="G444" s="80"/>
      <c r="H444" s="55">
        <v>45680.0</v>
      </c>
      <c r="I444" s="58" t="b">
        <v>1</v>
      </c>
      <c r="J444" s="60" t="b">
        <v>1</v>
      </c>
      <c r="K444" s="159">
        <f t="shared" si="1"/>
        <v>45861</v>
      </c>
      <c r="L444" s="54" t="s">
        <v>36</v>
      </c>
    </row>
    <row r="445">
      <c r="A445" s="29">
        <v>443.0</v>
      </c>
      <c r="B445" s="42" t="s">
        <v>1282</v>
      </c>
      <c r="C445" s="51"/>
      <c r="D445" s="156"/>
      <c r="E445" s="90">
        <v>10241.0</v>
      </c>
      <c r="F445" s="53">
        <v>225.0</v>
      </c>
      <c r="G445" s="80"/>
      <c r="H445" s="55">
        <v>45682.0</v>
      </c>
      <c r="I445" s="58" t="b">
        <v>1</v>
      </c>
      <c r="J445" s="60" t="b">
        <v>1</v>
      </c>
      <c r="K445" s="159">
        <f t="shared" si="1"/>
        <v>45863</v>
      </c>
      <c r="L445" s="54" t="s">
        <v>36</v>
      </c>
    </row>
    <row r="446">
      <c r="A446" s="29">
        <v>444.0</v>
      </c>
      <c r="B446" s="42" t="s">
        <v>1284</v>
      </c>
      <c r="C446" s="51"/>
      <c r="D446" s="156"/>
      <c r="E446" s="90">
        <v>10242.0</v>
      </c>
      <c r="F446" s="53">
        <v>225.0</v>
      </c>
      <c r="G446" s="80"/>
      <c r="H446" s="55">
        <v>45685.0</v>
      </c>
      <c r="I446" s="58" t="b">
        <v>1</v>
      </c>
      <c r="J446" s="60" t="b">
        <v>1</v>
      </c>
      <c r="K446" s="159">
        <f t="shared" si="1"/>
        <v>45866</v>
      </c>
      <c r="L446" s="54" t="s">
        <v>36</v>
      </c>
    </row>
    <row r="447">
      <c r="A447" s="29">
        <v>445.0</v>
      </c>
      <c r="B447" s="42" t="s">
        <v>1212</v>
      </c>
      <c r="C447" s="51"/>
      <c r="D447" s="156"/>
      <c r="E447" s="90">
        <v>10243.0</v>
      </c>
      <c r="F447" s="53">
        <v>225.0</v>
      </c>
      <c r="G447" s="80"/>
      <c r="H447" s="55">
        <v>45686.0</v>
      </c>
      <c r="I447" s="58" t="b">
        <v>1</v>
      </c>
      <c r="J447" s="60" t="b">
        <v>1</v>
      </c>
      <c r="K447" s="159">
        <f t="shared" si="1"/>
        <v>45867</v>
      </c>
      <c r="L447" s="54" t="s">
        <v>36</v>
      </c>
    </row>
    <row r="448">
      <c r="A448" s="29">
        <v>446.0</v>
      </c>
      <c r="B448" s="42" t="s">
        <v>1286</v>
      </c>
      <c r="C448" s="51"/>
      <c r="D448" s="156"/>
      <c r="E448" s="90">
        <v>10244.0</v>
      </c>
      <c r="F448" s="53">
        <v>225.0</v>
      </c>
      <c r="G448" s="80"/>
      <c r="H448" s="55">
        <v>45687.0</v>
      </c>
      <c r="I448" s="58" t="b">
        <v>1</v>
      </c>
      <c r="J448" s="60" t="b">
        <v>1</v>
      </c>
      <c r="K448" s="159">
        <f t="shared" si="1"/>
        <v>45868</v>
      </c>
      <c r="L448" s="54" t="s">
        <v>36</v>
      </c>
    </row>
    <row r="449">
      <c r="A449" s="29">
        <v>447.0</v>
      </c>
      <c r="B449" s="42" t="s">
        <v>1290</v>
      </c>
      <c r="C449" s="51"/>
      <c r="D449" s="156"/>
      <c r="E449" s="90">
        <v>10245.0</v>
      </c>
      <c r="F449" s="53">
        <v>225.0</v>
      </c>
      <c r="G449" s="80"/>
      <c r="H449" s="55">
        <v>45690.0</v>
      </c>
      <c r="I449" s="58" t="b">
        <v>1</v>
      </c>
      <c r="J449" s="60" t="b">
        <v>1</v>
      </c>
      <c r="K449" s="159">
        <f t="shared" si="1"/>
        <v>45871</v>
      </c>
      <c r="L449" s="54" t="s">
        <v>36</v>
      </c>
    </row>
    <row r="450">
      <c r="A450" s="29">
        <v>448.0</v>
      </c>
      <c r="B450" s="42" t="s">
        <v>1291</v>
      </c>
      <c r="C450" s="51"/>
      <c r="D450" s="156"/>
      <c r="E450" s="90">
        <v>10246.0</v>
      </c>
      <c r="F450" s="53">
        <v>225.0</v>
      </c>
      <c r="G450" s="80"/>
      <c r="H450" s="55">
        <v>45692.0</v>
      </c>
      <c r="I450" s="58" t="b">
        <v>1</v>
      </c>
      <c r="J450" s="60" t="b">
        <v>1</v>
      </c>
      <c r="K450" s="159">
        <f t="shared" si="1"/>
        <v>45873</v>
      </c>
      <c r="L450" s="54" t="s">
        <v>36</v>
      </c>
    </row>
    <row r="451">
      <c r="A451" s="29">
        <v>449.0</v>
      </c>
      <c r="B451" s="42" t="s">
        <v>1292</v>
      </c>
      <c r="C451" s="51"/>
      <c r="D451" s="156"/>
      <c r="E451" s="90">
        <v>10247.0</v>
      </c>
      <c r="F451" s="53">
        <v>225.0</v>
      </c>
      <c r="G451" s="80"/>
      <c r="H451" s="55">
        <v>45692.0</v>
      </c>
      <c r="I451" s="58" t="b">
        <v>1</v>
      </c>
      <c r="J451" s="60" t="b">
        <v>1</v>
      </c>
      <c r="K451" s="159">
        <f t="shared" si="1"/>
        <v>45873</v>
      </c>
      <c r="L451" s="54" t="s">
        <v>36</v>
      </c>
    </row>
    <row r="452">
      <c r="A452" s="29">
        <v>450.0</v>
      </c>
      <c r="B452" s="42" t="s">
        <v>1294</v>
      </c>
      <c r="C452" s="51"/>
      <c r="D452" s="156"/>
      <c r="E452" s="90">
        <v>10248.0</v>
      </c>
      <c r="F452" s="53">
        <v>225.0</v>
      </c>
      <c r="G452" s="80"/>
      <c r="H452" s="55">
        <v>45692.0</v>
      </c>
      <c r="I452" s="58" t="b">
        <v>1</v>
      </c>
      <c r="J452" s="60" t="b">
        <v>1</v>
      </c>
      <c r="K452" s="159">
        <f t="shared" si="1"/>
        <v>45873</v>
      </c>
      <c r="L452" s="54" t="s">
        <v>36</v>
      </c>
    </row>
    <row r="453">
      <c r="A453" s="29">
        <v>451.0</v>
      </c>
      <c r="B453" s="42" t="s">
        <v>1295</v>
      </c>
      <c r="C453" s="51"/>
      <c r="D453" s="156"/>
      <c r="E453" s="90">
        <v>10249.0</v>
      </c>
      <c r="F453" s="53">
        <v>225.0</v>
      </c>
      <c r="G453" s="80"/>
      <c r="H453" s="55">
        <v>45696.0</v>
      </c>
      <c r="I453" s="58" t="b">
        <v>1</v>
      </c>
      <c r="J453" s="60" t="b">
        <v>1</v>
      </c>
      <c r="K453" s="159">
        <f t="shared" si="1"/>
        <v>45877</v>
      </c>
      <c r="L453" s="54" t="s">
        <v>36</v>
      </c>
    </row>
    <row r="454">
      <c r="A454" s="29">
        <v>452.0</v>
      </c>
      <c r="B454" s="42" t="s">
        <v>1297</v>
      </c>
      <c r="C454" s="51"/>
      <c r="D454" s="156"/>
      <c r="E454" s="90">
        <v>10250.0</v>
      </c>
      <c r="F454" s="53">
        <v>225.0</v>
      </c>
      <c r="G454" s="80"/>
      <c r="H454" s="160">
        <v>45699.0</v>
      </c>
      <c r="I454" s="58" t="b">
        <v>1</v>
      </c>
      <c r="J454" s="60" t="b">
        <v>1</v>
      </c>
      <c r="K454" s="159">
        <f t="shared" si="1"/>
        <v>45880</v>
      </c>
      <c r="L454" s="54" t="s">
        <v>36</v>
      </c>
    </row>
    <row r="455">
      <c r="A455" s="29">
        <v>453.0</v>
      </c>
      <c r="B455" s="42" t="s">
        <v>1299</v>
      </c>
      <c r="C455" s="51"/>
      <c r="D455" s="156"/>
      <c r="E455" s="90">
        <v>10251.0</v>
      </c>
      <c r="F455" s="53">
        <v>225.0</v>
      </c>
      <c r="G455" s="80"/>
      <c r="H455" s="160">
        <v>45700.0</v>
      </c>
      <c r="I455" s="58" t="b">
        <v>1</v>
      </c>
      <c r="J455" s="60" t="b">
        <v>1</v>
      </c>
      <c r="K455" s="159">
        <f t="shared" si="1"/>
        <v>45881</v>
      </c>
      <c r="L455" s="54" t="s">
        <v>36</v>
      </c>
    </row>
    <row r="456">
      <c r="A456" s="29">
        <v>454.0</v>
      </c>
      <c r="B456" s="42" t="s">
        <v>1301</v>
      </c>
      <c r="C456" s="51"/>
      <c r="D456" s="156"/>
      <c r="E456" s="90">
        <v>10252.0</v>
      </c>
      <c r="F456" s="53">
        <v>225.0</v>
      </c>
      <c r="G456" s="80"/>
      <c r="H456" s="160">
        <v>45700.0</v>
      </c>
      <c r="I456" s="58" t="b">
        <v>1</v>
      </c>
      <c r="J456" s="60" t="b">
        <v>1</v>
      </c>
      <c r="K456" s="159">
        <f t="shared" si="1"/>
        <v>45881</v>
      </c>
      <c r="L456" s="54" t="s">
        <v>36</v>
      </c>
    </row>
    <row r="457">
      <c r="A457" s="29">
        <v>455.0</v>
      </c>
      <c r="B457" s="42" t="s">
        <v>1302</v>
      </c>
      <c r="C457" s="51"/>
      <c r="D457" s="156"/>
      <c r="E457" s="90">
        <v>10253.0</v>
      </c>
      <c r="F457" s="53">
        <v>225.0</v>
      </c>
      <c r="G457" s="80"/>
      <c r="H457" s="160">
        <v>45700.0</v>
      </c>
      <c r="I457" s="58" t="b">
        <v>1</v>
      </c>
      <c r="J457" s="60" t="b">
        <v>1</v>
      </c>
      <c r="K457" s="159">
        <f t="shared" si="1"/>
        <v>45881</v>
      </c>
      <c r="L457" s="54" t="s">
        <v>36</v>
      </c>
    </row>
    <row r="458">
      <c r="A458" s="29">
        <v>456.0</v>
      </c>
      <c r="B458" s="42" t="s">
        <v>1303</v>
      </c>
      <c r="C458" s="51"/>
      <c r="D458" s="156"/>
      <c r="E458" s="90">
        <v>10254.0</v>
      </c>
      <c r="F458" s="53">
        <v>225.0</v>
      </c>
      <c r="G458" s="80"/>
      <c r="H458" s="160">
        <v>45701.0</v>
      </c>
      <c r="I458" s="58" t="b">
        <v>1</v>
      </c>
      <c r="J458" s="60" t="b">
        <v>1</v>
      </c>
      <c r="K458" s="159">
        <f t="shared" si="1"/>
        <v>45882</v>
      </c>
      <c r="L458" s="54" t="s">
        <v>36</v>
      </c>
    </row>
    <row r="459">
      <c r="A459" s="29">
        <v>457.0</v>
      </c>
      <c r="B459" s="42" t="s">
        <v>1304</v>
      </c>
      <c r="C459" s="51"/>
      <c r="D459" s="156"/>
      <c r="E459" s="90">
        <v>10255.0</v>
      </c>
      <c r="F459" s="53">
        <v>225.0</v>
      </c>
      <c r="G459" s="80"/>
      <c r="H459" s="160">
        <v>45701.0</v>
      </c>
      <c r="I459" s="58" t="b">
        <v>1</v>
      </c>
      <c r="J459" s="60" t="b">
        <v>1</v>
      </c>
      <c r="K459" s="159">
        <f t="shared" si="1"/>
        <v>45882</v>
      </c>
      <c r="L459" s="54" t="s">
        <v>36</v>
      </c>
    </row>
    <row r="460">
      <c r="A460" s="29">
        <v>458.0</v>
      </c>
      <c r="B460" s="42" t="s">
        <v>1305</v>
      </c>
      <c r="C460" s="51"/>
      <c r="D460" s="156"/>
      <c r="E460" s="90">
        <v>10256.0</v>
      </c>
      <c r="F460" s="53">
        <v>225.0</v>
      </c>
      <c r="G460" s="80"/>
      <c r="H460" s="160">
        <v>45705.0</v>
      </c>
      <c r="I460" s="58" t="b">
        <v>1</v>
      </c>
      <c r="J460" s="60" t="b">
        <v>1</v>
      </c>
      <c r="K460" s="159">
        <f t="shared" si="1"/>
        <v>45886</v>
      </c>
      <c r="L460" s="54" t="s">
        <v>36</v>
      </c>
    </row>
    <row r="461">
      <c r="A461" s="29">
        <v>459.0</v>
      </c>
      <c r="B461" s="42" t="s">
        <v>1307</v>
      </c>
      <c r="C461" s="51"/>
      <c r="D461" s="156"/>
      <c r="E461" s="90">
        <v>10257.0</v>
      </c>
      <c r="F461" s="53">
        <v>225.0</v>
      </c>
      <c r="G461" s="80"/>
      <c r="H461" s="160">
        <v>45705.0</v>
      </c>
      <c r="I461" s="58" t="b">
        <v>1</v>
      </c>
      <c r="J461" s="60" t="b">
        <v>1</v>
      </c>
      <c r="K461" s="159">
        <f t="shared" si="1"/>
        <v>45886</v>
      </c>
      <c r="L461" s="54" t="s">
        <v>36</v>
      </c>
    </row>
    <row r="462">
      <c r="A462" s="29">
        <v>460.0</v>
      </c>
      <c r="B462" s="42" t="s">
        <v>1308</v>
      </c>
      <c r="C462" s="51"/>
      <c r="D462" s="156"/>
      <c r="E462" s="90">
        <v>10258.0</v>
      </c>
      <c r="F462" s="53">
        <v>225.0</v>
      </c>
      <c r="G462" s="80"/>
      <c r="H462" s="160">
        <v>45707.0</v>
      </c>
      <c r="I462" s="58" t="b">
        <v>1</v>
      </c>
      <c r="J462" s="60" t="b">
        <v>1</v>
      </c>
      <c r="K462" s="159">
        <f t="shared" si="1"/>
        <v>45888</v>
      </c>
      <c r="L462" s="54" t="s">
        <v>36</v>
      </c>
    </row>
    <row r="463">
      <c r="A463" s="29">
        <v>461.0</v>
      </c>
      <c r="B463" s="42" t="s">
        <v>1310</v>
      </c>
      <c r="C463" s="51"/>
      <c r="D463" s="156"/>
      <c r="E463" s="90">
        <v>10259.0</v>
      </c>
      <c r="F463" s="53">
        <v>225.0</v>
      </c>
      <c r="G463" s="80"/>
      <c r="H463" s="160">
        <v>45708.0</v>
      </c>
      <c r="I463" s="58" t="b">
        <v>1</v>
      </c>
      <c r="J463" s="60" t="b">
        <v>1</v>
      </c>
      <c r="K463" s="159">
        <f t="shared" si="1"/>
        <v>45889</v>
      </c>
      <c r="L463" s="54" t="s">
        <v>36</v>
      </c>
    </row>
    <row r="464">
      <c r="A464" s="29">
        <v>462.0</v>
      </c>
      <c r="B464" s="42" t="s">
        <v>1311</v>
      </c>
      <c r="C464" s="51"/>
      <c r="D464" s="156"/>
      <c r="E464" s="90">
        <v>10260.0</v>
      </c>
      <c r="F464" s="53">
        <v>225.0</v>
      </c>
      <c r="G464" s="80"/>
      <c r="H464" s="160">
        <v>45712.0</v>
      </c>
      <c r="I464" s="58" t="b">
        <v>1</v>
      </c>
      <c r="J464" s="60" t="b">
        <v>1</v>
      </c>
      <c r="K464" s="159">
        <f t="shared" si="1"/>
        <v>45893</v>
      </c>
      <c r="L464" s="54" t="s">
        <v>36</v>
      </c>
    </row>
    <row r="465">
      <c r="A465" s="29">
        <v>463.0</v>
      </c>
      <c r="B465" s="42" t="s">
        <v>1312</v>
      </c>
      <c r="C465" s="51"/>
      <c r="D465" s="156"/>
      <c r="E465" s="90">
        <v>10261.0</v>
      </c>
      <c r="F465" s="53">
        <v>225.0</v>
      </c>
      <c r="G465" s="80"/>
      <c r="H465" s="160">
        <v>45713.0</v>
      </c>
      <c r="I465" s="58" t="b">
        <v>1</v>
      </c>
      <c r="J465" s="60" t="b">
        <v>1</v>
      </c>
      <c r="K465" s="159">
        <f t="shared" si="1"/>
        <v>45894</v>
      </c>
      <c r="L465" s="54" t="s">
        <v>36</v>
      </c>
    </row>
    <row r="466">
      <c r="A466" s="29">
        <v>464.0</v>
      </c>
      <c r="B466" s="42" t="s">
        <v>998</v>
      </c>
      <c r="C466" s="51"/>
      <c r="D466" s="156"/>
      <c r="E466" s="90">
        <v>10262.0</v>
      </c>
      <c r="F466" s="53">
        <v>225.0</v>
      </c>
      <c r="G466" s="80"/>
      <c r="H466" s="160">
        <v>45717.0</v>
      </c>
      <c r="I466" s="58" t="b">
        <v>1</v>
      </c>
      <c r="J466" s="60" t="b">
        <v>1</v>
      </c>
      <c r="K466" s="159">
        <f t="shared" si="1"/>
        <v>45901</v>
      </c>
      <c r="L466" s="54" t="s">
        <v>36</v>
      </c>
    </row>
    <row r="467">
      <c r="A467" s="29">
        <v>465.0</v>
      </c>
      <c r="B467" s="42" t="s">
        <v>1315</v>
      </c>
      <c r="C467" s="51"/>
      <c r="D467" s="156"/>
      <c r="E467" s="90">
        <v>10263.0</v>
      </c>
      <c r="F467" s="53">
        <v>225.0</v>
      </c>
      <c r="G467" s="80"/>
      <c r="H467" s="160">
        <v>45718.0</v>
      </c>
      <c r="I467" s="58" t="b">
        <v>1</v>
      </c>
      <c r="J467" s="60" t="b">
        <v>1</v>
      </c>
      <c r="K467" s="159">
        <f t="shared" si="1"/>
        <v>45902</v>
      </c>
      <c r="L467" s="54" t="s">
        <v>36</v>
      </c>
    </row>
    <row r="468">
      <c r="A468" s="29">
        <v>466.0</v>
      </c>
      <c r="B468" s="42" t="s">
        <v>1316</v>
      </c>
      <c r="C468" s="51"/>
      <c r="D468" s="156"/>
      <c r="E468" s="90">
        <v>10264.0</v>
      </c>
      <c r="F468" s="53">
        <v>225.0</v>
      </c>
      <c r="G468" s="80"/>
      <c r="H468" s="160">
        <v>45721.0</v>
      </c>
      <c r="I468" s="58" t="b">
        <v>1</v>
      </c>
      <c r="J468" s="60" t="b">
        <v>1</v>
      </c>
      <c r="K468" s="159">
        <f t="shared" si="1"/>
        <v>45905</v>
      </c>
      <c r="L468" s="54" t="s">
        <v>36</v>
      </c>
    </row>
    <row r="469">
      <c r="A469" s="29">
        <v>467.0</v>
      </c>
      <c r="B469" s="42" t="s">
        <v>1317</v>
      </c>
      <c r="C469" s="51"/>
      <c r="D469" s="156"/>
      <c r="E469" s="90">
        <v>10265.0</v>
      </c>
      <c r="F469" s="53">
        <v>225.0</v>
      </c>
      <c r="G469" s="80"/>
      <c r="H469" s="55">
        <v>45723.0</v>
      </c>
      <c r="I469" s="58" t="b">
        <v>1</v>
      </c>
      <c r="J469" s="60" t="b">
        <v>1</v>
      </c>
      <c r="K469" s="159">
        <f t="shared" si="1"/>
        <v>45907</v>
      </c>
      <c r="L469" s="54" t="s">
        <v>36</v>
      </c>
    </row>
    <row r="470">
      <c r="A470" s="29">
        <v>468.0</v>
      </c>
      <c r="B470" s="42" t="s">
        <v>1318</v>
      </c>
      <c r="C470" s="51"/>
      <c r="D470" s="156"/>
      <c r="E470" s="90">
        <v>10266.0</v>
      </c>
      <c r="F470" s="53">
        <v>225.0</v>
      </c>
      <c r="G470" s="80"/>
      <c r="H470" s="160">
        <v>45723.0</v>
      </c>
      <c r="I470" s="58" t="b">
        <v>1</v>
      </c>
      <c r="J470" s="60" t="b">
        <v>1</v>
      </c>
      <c r="K470" s="159">
        <f t="shared" si="1"/>
        <v>45907</v>
      </c>
      <c r="L470" s="54" t="s">
        <v>36</v>
      </c>
    </row>
    <row r="471">
      <c r="A471" s="29">
        <v>469.0</v>
      </c>
      <c r="B471" s="42" t="s">
        <v>1319</v>
      </c>
      <c r="C471" s="51"/>
      <c r="D471" s="156"/>
      <c r="E471" s="90">
        <v>10267.0</v>
      </c>
      <c r="F471" s="53">
        <v>225.0</v>
      </c>
      <c r="G471" s="80"/>
      <c r="H471" s="160">
        <v>45724.0</v>
      </c>
      <c r="I471" s="58" t="b">
        <v>1</v>
      </c>
      <c r="J471" s="60" t="b">
        <v>1</v>
      </c>
      <c r="K471" s="159">
        <f t="shared" si="1"/>
        <v>45908</v>
      </c>
      <c r="L471" s="54" t="s">
        <v>36</v>
      </c>
    </row>
    <row r="472">
      <c r="A472" s="29">
        <v>470.0</v>
      </c>
      <c r="B472" s="42" t="s">
        <v>1321</v>
      </c>
      <c r="C472" s="51"/>
      <c r="D472" s="156"/>
      <c r="E472" s="90">
        <v>10268.0</v>
      </c>
      <c r="F472" s="53">
        <v>225.0</v>
      </c>
      <c r="G472" s="80"/>
      <c r="H472" s="160">
        <v>45725.0</v>
      </c>
      <c r="I472" s="58" t="b">
        <v>1</v>
      </c>
      <c r="J472" s="60" t="b">
        <v>1</v>
      </c>
      <c r="K472" s="159">
        <f t="shared" si="1"/>
        <v>45909</v>
      </c>
      <c r="L472" s="54" t="s">
        <v>36</v>
      </c>
    </row>
    <row r="473">
      <c r="A473" s="29">
        <v>471.0</v>
      </c>
      <c r="B473" s="42" t="s">
        <v>1322</v>
      </c>
      <c r="C473" s="51"/>
      <c r="D473" s="156"/>
      <c r="E473" s="90">
        <v>10269.0</v>
      </c>
      <c r="F473" s="53">
        <v>225.0</v>
      </c>
      <c r="G473" s="80"/>
      <c r="H473" s="160">
        <v>45727.0</v>
      </c>
      <c r="I473" s="58" t="b">
        <v>1</v>
      </c>
      <c r="J473" s="60" t="b">
        <v>1</v>
      </c>
      <c r="K473" s="159">
        <f t="shared" si="1"/>
        <v>45911</v>
      </c>
      <c r="L473" s="54" t="s">
        <v>36</v>
      </c>
    </row>
    <row r="474">
      <c r="A474" s="29">
        <v>472.0</v>
      </c>
      <c r="B474" s="42" t="s">
        <v>1324</v>
      </c>
      <c r="C474" s="51"/>
      <c r="D474" s="156"/>
      <c r="E474" s="90">
        <v>10270.0</v>
      </c>
      <c r="F474" s="53">
        <v>225.0</v>
      </c>
      <c r="G474" s="80"/>
      <c r="H474" s="160">
        <v>45729.0</v>
      </c>
      <c r="I474" s="58" t="b">
        <v>1</v>
      </c>
      <c r="J474" s="113" t="b">
        <v>0</v>
      </c>
      <c r="K474" s="159">
        <f t="shared" si="1"/>
        <v>45913</v>
      </c>
      <c r="L474" s="54" t="s">
        <v>36</v>
      </c>
    </row>
    <row r="475">
      <c r="A475" s="29">
        <v>473.0</v>
      </c>
      <c r="B475" s="42" t="s">
        <v>1325</v>
      </c>
      <c r="C475" s="51"/>
      <c r="D475" s="156"/>
      <c r="E475" s="90">
        <v>10271.0</v>
      </c>
      <c r="F475" s="53">
        <v>225.0</v>
      </c>
      <c r="G475" s="80"/>
      <c r="H475" s="160">
        <v>45729.0</v>
      </c>
      <c r="I475" s="58" t="b">
        <v>1</v>
      </c>
      <c r="J475" s="60" t="b">
        <v>1</v>
      </c>
      <c r="K475" s="159">
        <f t="shared" si="1"/>
        <v>45913</v>
      </c>
      <c r="L475" s="54" t="s">
        <v>36</v>
      </c>
    </row>
    <row r="476">
      <c r="A476" s="29">
        <v>474.0</v>
      </c>
      <c r="B476" s="42" t="s">
        <v>1327</v>
      </c>
      <c r="C476" s="51"/>
      <c r="D476" s="156"/>
      <c r="E476" s="90">
        <v>10272.0</v>
      </c>
      <c r="F476" s="53">
        <v>225.0</v>
      </c>
      <c r="G476" s="80"/>
      <c r="H476" s="160">
        <v>45730.0</v>
      </c>
      <c r="I476" s="58" t="b">
        <v>1</v>
      </c>
      <c r="J476" s="60" t="b">
        <v>1</v>
      </c>
      <c r="K476" s="159">
        <f t="shared" si="1"/>
        <v>45914</v>
      </c>
      <c r="L476" s="54" t="s">
        <v>36</v>
      </c>
    </row>
    <row r="477">
      <c r="A477" s="29">
        <v>475.0</v>
      </c>
      <c r="B477" s="42" t="s">
        <v>1329</v>
      </c>
      <c r="C477" s="51"/>
      <c r="D477" s="156"/>
      <c r="E477" s="90">
        <v>10273.0</v>
      </c>
      <c r="F477" s="53">
        <v>225.0</v>
      </c>
      <c r="G477" s="80"/>
      <c r="H477" s="160">
        <v>45733.0</v>
      </c>
      <c r="I477" s="58" t="b">
        <v>1</v>
      </c>
      <c r="J477" s="60" t="b">
        <v>1</v>
      </c>
      <c r="K477" s="159">
        <f t="shared" si="1"/>
        <v>45917</v>
      </c>
      <c r="L477" s="54" t="s">
        <v>36</v>
      </c>
    </row>
    <row r="478">
      <c r="A478" s="29">
        <v>476.0</v>
      </c>
      <c r="B478" s="42" t="s">
        <v>1330</v>
      </c>
      <c r="C478" s="51"/>
      <c r="D478" s="156"/>
      <c r="E478" s="90">
        <v>10274.0</v>
      </c>
      <c r="F478" s="53">
        <v>225.0</v>
      </c>
      <c r="G478" s="80"/>
      <c r="H478" s="160">
        <v>45733.0</v>
      </c>
      <c r="I478" s="58" t="b">
        <v>1</v>
      </c>
      <c r="J478" s="60" t="b">
        <v>1</v>
      </c>
      <c r="K478" s="159">
        <f t="shared" si="1"/>
        <v>45917</v>
      </c>
      <c r="L478" s="54" t="s">
        <v>36</v>
      </c>
    </row>
    <row r="479">
      <c r="A479" s="29">
        <v>477.0</v>
      </c>
      <c r="B479" s="42" t="s">
        <v>1332</v>
      </c>
      <c r="C479" s="51"/>
      <c r="D479" s="156"/>
      <c r="E479" s="90">
        <v>10275.0</v>
      </c>
      <c r="F479" s="53">
        <v>225.0</v>
      </c>
      <c r="G479" s="80"/>
      <c r="H479" s="160">
        <v>45734.0</v>
      </c>
      <c r="I479" s="58" t="b">
        <v>1</v>
      </c>
      <c r="J479" s="60" t="b">
        <v>1</v>
      </c>
      <c r="K479" s="159">
        <f t="shared" si="1"/>
        <v>45918</v>
      </c>
      <c r="L479" s="54" t="s">
        <v>36</v>
      </c>
    </row>
    <row r="480">
      <c r="A480" s="29">
        <v>478.0</v>
      </c>
      <c r="B480" s="42" t="s">
        <v>1333</v>
      </c>
      <c r="C480" s="51"/>
      <c r="D480" s="156"/>
      <c r="E480" s="90">
        <v>10276.0</v>
      </c>
      <c r="F480" s="53">
        <v>225.0</v>
      </c>
      <c r="G480" s="80"/>
      <c r="H480" s="160">
        <v>45735.0</v>
      </c>
      <c r="I480" s="58" t="b">
        <v>1</v>
      </c>
      <c r="J480" s="60" t="b">
        <v>1</v>
      </c>
      <c r="K480" s="159">
        <f t="shared" si="1"/>
        <v>45919</v>
      </c>
      <c r="L480" s="54" t="s">
        <v>36</v>
      </c>
    </row>
    <row r="481">
      <c r="A481" s="29">
        <v>479.0</v>
      </c>
      <c r="B481" s="42" t="s">
        <v>1334</v>
      </c>
      <c r="C481" s="51"/>
      <c r="D481" s="156"/>
      <c r="E481" s="90">
        <v>10277.0</v>
      </c>
      <c r="F481" s="53">
        <v>225.0</v>
      </c>
      <c r="G481" s="80"/>
      <c r="H481" s="160">
        <v>45737.0</v>
      </c>
      <c r="I481" s="58" t="b">
        <v>1</v>
      </c>
      <c r="J481" s="60" t="b">
        <v>1</v>
      </c>
      <c r="K481" s="159">
        <f t="shared" si="1"/>
        <v>45921</v>
      </c>
      <c r="L481" s="54" t="s">
        <v>36</v>
      </c>
    </row>
    <row r="482">
      <c r="A482" s="29">
        <v>480.0</v>
      </c>
      <c r="B482" s="42" t="s">
        <v>1335</v>
      </c>
      <c r="C482" s="51"/>
      <c r="D482" s="156"/>
      <c r="E482" s="90">
        <v>10278.0</v>
      </c>
      <c r="F482" s="53">
        <v>225.0</v>
      </c>
      <c r="G482" s="80"/>
      <c r="H482" s="160">
        <v>45738.0</v>
      </c>
      <c r="I482" s="58" t="b">
        <v>1</v>
      </c>
      <c r="J482" s="60" t="b">
        <v>1</v>
      </c>
      <c r="K482" s="159">
        <f t="shared" si="1"/>
        <v>45922</v>
      </c>
      <c r="L482" s="54" t="s">
        <v>36</v>
      </c>
    </row>
    <row r="483">
      <c r="A483" s="29">
        <v>481.0</v>
      </c>
      <c r="B483" s="42" t="s">
        <v>1337</v>
      </c>
      <c r="C483" s="51"/>
      <c r="D483" s="156"/>
      <c r="E483" s="90">
        <v>10279.0</v>
      </c>
      <c r="F483" s="53">
        <v>225.0</v>
      </c>
      <c r="G483" s="80"/>
      <c r="H483" s="160">
        <v>45740.0</v>
      </c>
      <c r="I483" s="58" t="b">
        <v>1</v>
      </c>
      <c r="J483" s="60" t="b">
        <v>1</v>
      </c>
      <c r="K483" s="159">
        <f t="shared" si="1"/>
        <v>45924</v>
      </c>
      <c r="L483" s="54" t="s">
        <v>36</v>
      </c>
    </row>
    <row r="484">
      <c r="A484" s="29">
        <v>482.0</v>
      </c>
      <c r="B484" s="42" t="s">
        <v>1338</v>
      </c>
      <c r="C484" s="51"/>
      <c r="D484" s="156"/>
      <c r="E484" s="90">
        <v>10280.0</v>
      </c>
      <c r="F484" s="53">
        <v>225.0</v>
      </c>
      <c r="G484" s="80"/>
      <c r="H484" s="160">
        <v>45741.0</v>
      </c>
      <c r="I484" s="58" t="b">
        <v>1</v>
      </c>
      <c r="J484" s="60" t="b">
        <v>1</v>
      </c>
      <c r="K484" s="159">
        <f t="shared" si="1"/>
        <v>45925</v>
      </c>
      <c r="L484" s="54" t="s">
        <v>36</v>
      </c>
    </row>
    <row r="485">
      <c r="A485" s="29">
        <v>483.0</v>
      </c>
      <c r="B485" s="42" t="s">
        <v>1339</v>
      </c>
      <c r="C485" s="51"/>
      <c r="D485" s="156"/>
      <c r="E485" s="90">
        <v>10281.0</v>
      </c>
      <c r="F485" s="53">
        <v>225.0</v>
      </c>
      <c r="G485" s="80"/>
      <c r="H485" s="160">
        <v>45743.0</v>
      </c>
      <c r="I485" s="58" t="b">
        <v>1</v>
      </c>
      <c r="J485" s="60" t="b">
        <v>1</v>
      </c>
      <c r="K485" s="159">
        <f t="shared" si="1"/>
        <v>45927</v>
      </c>
      <c r="L485" s="54" t="s">
        <v>36</v>
      </c>
    </row>
    <row r="486">
      <c r="A486" s="29">
        <v>484.0</v>
      </c>
      <c r="B486" s="42" t="s">
        <v>1340</v>
      </c>
      <c r="C486" s="51"/>
      <c r="D486" s="156"/>
      <c r="E486" s="90">
        <v>10282.0</v>
      </c>
      <c r="F486" s="53">
        <v>225.0</v>
      </c>
      <c r="G486" s="80"/>
      <c r="H486" s="160">
        <v>45744.0</v>
      </c>
      <c r="I486" s="58" t="b">
        <v>1</v>
      </c>
      <c r="J486" s="60" t="b">
        <v>1</v>
      </c>
      <c r="K486" s="159">
        <f t="shared" si="1"/>
        <v>45928</v>
      </c>
      <c r="L486" s="54" t="s">
        <v>36</v>
      </c>
    </row>
    <row r="487">
      <c r="A487" s="29">
        <v>485.0</v>
      </c>
      <c r="B487" s="42" t="s">
        <v>1342</v>
      </c>
      <c r="C487" s="51"/>
      <c r="D487" s="156"/>
      <c r="E487" s="90">
        <v>10283.0</v>
      </c>
      <c r="F487" s="53">
        <v>225.0</v>
      </c>
      <c r="G487" s="42" t="s">
        <v>1343</v>
      </c>
      <c r="H487" s="160">
        <v>45745.0</v>
      </c>
      <c r="I487" s="58" t="b">
        <v>1</v>
      </c>
      <c r="J487" s="60" t="b">
        <v>1</v>
      </c>
      <c r="K487" s="159">
        <f t="shared" si="1"/>
        <v>45929</v>
      </c>
      <c r="L487" s="54" t="s">
        <v>36</v>
      </c>
    </row>
    <row r="488">
      <c r="A488" s="29">
        <v>486.0</v>
      </c>
      <c r="B488" s="42" t="s">
        <v>1344</v>
      </c>
      <c r="C488" s="51"/>
      <c r="D488" s="156"/>
      <c r="E488" s="90">
        <v>10284.0</v>
      </c>
      <c r="F488" s="53">
        <v>225.0</v>
      </c>
      <c r="G488" s="80"/>
      <c r="H488" s="160">
        <v>45750.0</v>
      </c>
      <c r="I488" s="58" t="b">
        <v>1</v>
      </c>
      <c r="J488" s="60" t="b">
        <v>1</v>
      </c>
      <c r="K488" s="159">
        <f t="shared" si="1"/>
        <v>45933</v>
      </c>
      <c r="L488" s="54" t="s">
        <v>36</v>
      </c>
    </row>
    <row r="489">
      <c r="A489" s="29">
        <v>487.0</v>
      </c>
      <c r="B489" s="42" t="s">
        <v>1346</v>
      </c>
      <c r="C489" s="51"/>
      <c r="D489" s="156"/>
      <c r="E489" s="90">
        <v>10285.0</v>
      </c>
      <c r="F489" s="53">
        <v>225.0</v>
      </c>
      <c r="G489" s="42" t="s">
        <v>1343</v>
      </c>
      <c r="H489" s="160">
        <v>45754.0</v>
      </c>
      <c r="I489" s="58" t="b">
        <v>1</v>
      </c>
      <c r="J489" s="60" t="b">
        <v>1</v>
      </c>
      <c r="K489" s="159">
        <f t="shared" si="1"/>
        <v>45937</v>
      </c>
      <c r="L489" s="54" t="s">
        <v>36</v>
      </c>
    </row>
    <row r="490">
      <c r="A490" s="29">
        <v>488.0</v>
      </c>
      <c r="B490" s="42" t="s">
        <v>1348</v>
      </c>
      <c r="C490" s="51"/>
      <c r="D490" s="156"/>
      <c r="E490" s="90">
        <v>10286.0</v>
      </c>
      <c r="F490" s="53">
        <v>225.0</v>
      </c>
      <c r="G490" s="80"/>
      <c r="H490" s="160">
        <v>45754.0</v>
      </c>
      <c r="I490" s="58" t="b">
        <v>1</v>
      </c>
      <c r="J490" s="60" t="b">
        <v>1</v>
      </c>
      <c r="K490" s="159">
        <f t="shared" si="1"/>
        <v>45937</v>
      </c>
      <c r="L490" s="54" t="s">
        <v>36</v>
      </c>
    </row>
    <row r="491">
      <c r="A491" s="29">
        <v>489.0</v>
      </c>
      <c r="B491" s="42" t="s">
        <v>1348</v>
      </c>
      <c r="C491" s="51"/>
      <c r="D491" s="156"/>
      <c r="E491" s="90">
        <v>10287.0</v>
      </c>
      <c r="F491" s="53">
        <v>225.0</v>
      </c>
      <c r="G491" s="80"/>
      <c r="H491" s="160">
        <v>45754.0</v>
      </c>
      <c r="I491" s="58" t="b">
        <v>1</v>
      </c>
      <c r="J491" s="60" t="b">
        <v>1</v>
      </c>
      <c r="K491" s="159">
        <f t="shared" si="1"/>
        <v>45937</v>
      </c>
      <c r="L491" s="54" t="s">
        <v>36</v>
      </c>
    </row>
    <row r="492">
      <c r="A492" s="29">
        <v>490.0</v>
      </c>
      <c r="B492" s="42" t="s">
        <v>1349</v>
      </c>
      <c r="C492" s="51"/>
      <c r="D492" s="156"/>
      <c r="E492" s="90">
        <v>10288.0</v>
      </c>
      <c r="F492" s="53">
        <v>225.0</v>
      </c>
      <c r="G492" s="80"/>
      <c r="H492" s="160">
        <v>45756.0</v>
      </c>
      <c r="I492" s="58" t="b">
        <v>1</v>
      </c>
      <c r="J492" s="60" t="b">
        <v>1</v>
      </c>
      <c r="K492" s="159">
        <f t="shared" si="1"/>
        <v>45939</v>
      </c>
      <c r="L492" s="54" t="s">
        <v>36</v>
      </c>
    </row>
    <row r="493">
      <c r="A493" s="29">
        <v>491.0</v>
      </c>
      <c r="B493" s="42" t="s">
        <v>1350</v>
      </c>
      <c r="C493" s="51"/>
      <c r="D493" s="156"/>
      <c r="E493" s="90">
        <v>10289.0</v>
      </c>
      <c r="F493" s="53">
        <v>225.0</v>
      </c>
      <c r="G493" s="42" t="s">
        <v>1351</v>
      </c>
      <c r="H493" s="160">
        <v>45759.0</v>
      </c>
      <c r="I493" s="58" t="b">
        <v>1</v>
      </c>
      <c r="J493" s="60" t="b">
        <v>1</v>
      </c>
      <c r="K493" s="159">
        <f t="shared" si="1"/>
        <v>45942</v>
      </c>
      <c r="L493" s="54" t="s">
        <v>36</v>
      </c>
    </row>
    <row r="494">
      <c r="A494" s="29">
        <v>492.0</v>
      </c>
      <c r="B494" s="42" t="s">
        <v>1353</v>
      </c>
      <c r="C494" s="51"/>
      <c r="D494" s="156"/>
      <c r="E494" s="90">
        <v>10290.0</v>
      </c>
      <c r="F494" s="53">
        <v>225.0</v>
      </c>
      <c r="G494" s="80"/>
      <c r="H494" s="160">
        <v>45759.0</v>
      </c>
      <c r="I494" s="58" t="b">
        <v>1</v>
      </c>
      <c r="J494" s="60" t="b">
        <v>1</v>
      </c>
      <c r="K494" s="159">
        <f t="shared" si="1"/>
        <v>45942</v>
      </c>
      <c r="L494" s="54" t="s">
        <v>36</v>
      </c>
    </row>
    <row r="495">
      <c r="A495" s="29">
        <v>493.0</v>
      </c>
      <c r="B495" s="42" t="s">
        <v>1354</v>
      </c>
      <c r="C495" s="51"/>
      <c r="D495" s="156"/>
      <c r="E495" s="90">
        <v>10291.0</v>
      </c>
      <c r="F495" s="53">
        <v>225.0</v>
      </c>
      <c r="G495" s="80"/>
      <c r="H495" s="160">
        <v>45760.0</v>
      </c>
      <c r="I495" s="58" t="b">
        <v>1</v>
      </c>
      <c r="J495" s="60" t="b">
        <v>1</v>
      </c>
      <c r="K495" s="159">
        <f t="shared" si="1"/>
        <v>45943</v>
      </c>
      <c r="L495" s="54" t="s">
        <v>36</v>
      </c>
    </row>
    <row r="496">
      <c r="A496" s="29">
        <v>494.0</v>
      </c>
      <c r="B496" s="42" t="s">
        <v>1356</v>
      </c>
      <c r="C496" s="51"/>
      <c r="D496" s="156"/>
      <c r="E496" s="90">
        <v>10292.0</v>
      </c>
      <c r="F496" s="53">
        <v>225.0</v>
      </c>
      <c r="G496" s="80"/>
      <c r="H496" s="160">
        <v>45764.0</v>
      </c>
      <c r="I496" s="58" t="b">
        <v>1</v>
      </c>
      <c r="J496" s="60" t="b">
        <v>1</v>
      </c>
      <c r="K496" s="159">
        <f t="shared" si="1"/>
        <v>45947</v>
      </c>
      <c r="L496" s="54" t="s">
        <v>36</v>
      </c>
    </row>
    <row r="497">
      <c r="A497" s="29">
        <v>495.0</v>
      </c>
      <c r="B497" s="42" t="s">
        <v>1358</v>
      </c>
      <c r="C497" s="51"/>
      <c r="D497" s="156"/>
      <c r="E497" s="90">
        <v>10293.0</v>
      </c>
      <c r="F497" s="53">
        <v>225.0</v>
      </c>
      <c r="G497" s="80"/>
      <c r="H497" s="160">
        <v>45765.0</v>
      </c>
      <c r="I497" s="58" t="b">
        <v>1</v>
      </c>
      <c r="J497" s="60" t="b">
        <v>1</v>
      </c>
      <c r="K497" s="159">
        <f t="shared" si="1"/>
        <v>45948</v>
      </c>
      <c r="L497" s="54" t="s">
        <v>36</v>
      </c>
    </row>
    <row r="498">
      <c r="A498" s="29">
        <v>496.0</v>
      </c>
      <c r="B498" s="42" t="s">
        <v>1359</v>
      </c>
      <c r="C498" s="51"/>
      <c r="D498" s="156"/>
      <c r="E498" s="90">
        <v>10294.0</v>
      </c>
      <c r="F498" s="53">
        <v>225.0</v>
      </c>
      <c r="G498" s="80"/>
      <c r="H498" s="160">
        <v>45766.0</v>
      </c>
      <c r="I498" s="58" t="b">
        <v>1</v>
      </c>
      <c r="J498" s="60" t="b">
        <v>1</v>
      </c>
      <c r="K498" s="159">
        <f t="shared" si="1"/>
        <v>45949</v>
      </c>
      <c r="L498" s="54" t="s">
        <v>36</v>
      </c>
    </row>
    <row r="499">
      <c r="A499" s="29">
        <v>497.0</v>
      </c>
      <c r="B499" s="42" t="s">
        <v>1361</v>
      </c>
      <c r="C499" s="51"/>
      <c r="D499" s="156"/>
      <c r="E499" s="90">
        <v>10295.0</v>
      </c>
      <c r="F499" s="53">
        <v>225.0</v>
      </c>
      <c r="G499" s="80"/>
      <c r="H499" s="160">
        <v>45770.0</v>
      </c>
      <c r="I499" s="58" t="b">
        <v>1</v>
      </c>
      <c r="J499" s="60" t="b">
        <v>1</v>
      </c>
      <c r="K499" s="159">
        <f t="shared" si="1"/>
        <v>45953</v>
      </c>
      <c r="L499" s="54" t="s">
        <v>36</v>
      </c>
    </row>
    <row r="500">
      <c r="A500" s="29">
        <v>498.0</v>
      </c>
      <c r="B500" s="42" t="s">
        <v>1363</v>
      </c>
      <c r="C500" s="51"/>
      <c r="D500" s="156"/>
      <c r="E500" s="90">
        <v>10296.0</v>
      </c>
      <c r="F500" s="53">
        <v>225.0</v>
      </c>
      <c r="G500" s="80"/>
      <c r="H500" s="160">
        <v>45772.0</v>
      </c>
      <c r="I500" s="58" t="b">
        <v>1</v>
      </c>
      <c r="J500" s="60" t="b">
        <v>1</v>
      </c>
      <c r="K500" s="159">
        <f t="shared" si="1"/>
        <v>45955</v>
      </c>
      <c r="L500" s="54" t="s">
        <v>36</v>
      </c>
    </row>
    <row r="501">
      <c r="A501" s="29">
        <v>499.0</v>
      </c>
      <c r="B501" s="42" t="s">
        <v>1364</v>
      </c>
      <c r="C501" s="51"/>
      <c r="D501" s="156"/>
      <c r="E501" s="90">
        <v>10297.0</v>
      </c>
      <c r="F501" s="53">
        <v>225.0</v>
      </c>
      <c r="G501" s="80"/>
      <c r="H501" s="160">
        <v>45776.0</v>
      </c>
      <c r="I501" s="58" t="b">
        <v>1</v>
      </c>
      <c r="J501" s="60" t="b">
        <v>1</v>
      </c>
      <c r="K501" s="159">
        <f t="shared" si="1"/>
        <v>45959</v>
      </c>
      <c r="L501" s="54" t="s">
        <v>36</v>
      </c>
    </row>
    <row r="502">
      <c r="A502" s="29">
        <v>500.0</v>
      </c>
      <c r="B502" s="42" t="s">
        <v>1365</v>
      </c>
      <c r="C502" s="51"/>
      <c r="D502" s="156"/>
      <c r="E502" s="90">
        <v>10298.0</v>
      </c>
      <c r="F502" s="53">
        <v>225.0</v>
      </c>
      <c r="G502" s="80"/>
      <c r="H502" s="160">
        <v>45778.0</v>
      </c>
      <c r="I502" s="58" t="b">
        <v>1</v>
      </c>
      <c r="J502" s="60" t="b">
        <v>1</v>
      </c>
      <c r="K502" s="159">
        <f t="shared" si="1"/>
        <v>45962</v>
      </c>
      <c r="L502" s="54" t="s">
        <v>36</v>
      </c>
    </row>
    <row r="503">
      <c r="A503" s="29">
        <v>501.0</v>
      </c>
      <c r="B503" s="42" t="s">
        <v>1367</v>
      </c>
      <c r="C503" s="51"/>
      <c r="D503" s="156"/>
      <c r="E503" s="90">
        <v>10299.0</v>
      </c>
      <c r="F503" s="53">
        <v>225.0</v>
      </c>
      <c r="G503" s="80"/>
      <c r="H503" s="160">
        <v>45778.0</v>
      </c>
      <c r="I503" s="58" t="b">
        <v>1</v>
      </c>
      <c r="J503" s="60" t="b">
        <v>1</v>
      </c>
      <c r="K503" s="159">
        <f t="shared" si="1"/>
        <v>45962</v>
      </c>
      <c r="L503" s="54" t="s">
        <v>36</v>
      </c>
    </row>
    <row r="504">
      <c r="A504" s="29">
        <v>502.0</v>
      </c>
      <c r="B504" s="42" t="s">
        <v>1369</v>
      </c>
      <c r="C504" s="51"/>
      <c r="D504" s="156"/>
      <c r="E504" s="90">
        <v>10300.0</v>
      </c>
      <c r="F504" s="53">
        <v>225.0</v>
      </c>
      <c r="G504" s="80"/>
      <c r="H504" s="160">
        <v>45778.0</v>
      </c>
      <c r="I504" s="58" t="b">
        <v>1</v>
      </c>
      <c r="J504" s="60" t="b">
        <v>1</v>
      </c>
      <c r="K504" s="159">
        <f t="shared" si="1"/>
        <v>45962</v>
      </c>
      <c r="L504" s="54" t="s">
        <v>36</v>
      </c>
    </row>
    <row r="505">
      <c r="A505" s="29">
        <v>503.0</v>
      </c>
      <c r="B505" s="42" t="s">
        <v>1370</v>
      </c>
      <c r="C505" s="51"/>
      <c r="D505" s="156"/>
      <c r="E505" s="90">
        <v>10301.0</v>
      </c>
      <c r="F505" s="53">
        <v>225.0</v>
      </c>
      <c r="G505" s="80"/>
      <c r="H505" s="160">
        <v>45779.0</v>
      </c>
      <c r="I505" s="58" t="b">
        <v>1</v>
      </c>
      <c r="J505" s="60" t="b">
        <v>0</v>
      </c>
      <c r="K505" s="159">
        <f t="shared" si="1"/>
        <v>45963</v>
      </c>
      <c r="L505" s="54" t="s">
        <v>36</v>
      </c>
    </row>
    <row r="506">
      <c r="A506" s="29">
        <v>504.0</v>
      </c>
      <c r="B506" s="42" t="s">
        <v>1371</v>
      </c>
      <c r="C506" s="51"/>
      <c r="D506" s="156"/>
      <c r="E506" s="90">
        <v>10302.0</v>
      </c>
      <c r="F506" s="53">
        <v>225.0</v>
      </c>
      <c r="G506" s="80"/>
      <c r="H506" s="160">
        <v>45780.0</v>
      </c>
      <c r="I506" s="58" t="b">
        <v>1</v>
      </c>
      <c r="J506" s="60" t="b">
        <v>1</v>
      </c>
      <c r="K506" s="159">
        <f t="shared" si="1"/>
        <v>45964</v>
      </c>
      <c r="L506" s="54" t="s">
        <v>36</v>
      </c>
    </row>
    <row r="507">
      <c r="A507" s="29">
        <v>505.0</v>
      </c>
      <c r="B507" s="42" t="s">
        <v>1372</v>
      </c>
      <c r="C507" s="51"/>
      <c r="D507" s="156"/>
      <c r="E507" s="90">
        <v>10303.0</v>
      </c>
      <c r="F507" s="53">
        <v>225.0</v>
      </c>
      <c r="G507" s="80"/>
      <c r="H507" s="160">
        <v>45784.0</v>
      </c>
      <c r="I507" s="58" t="b">
        <v>1</v>
      </c>
      <c r="J507" s="60" t="b">
        <v>1</v>
      </c>
      <c r="K507" s="159">
        <f t="shared" si="1"/>
        <v>45968</v>
      </c>
      <c r="L507" s="54" t="s">
        <v>36</v>
      </c>
    </row>
    <row r="508">
      <c r="A508" s="29">
        <v>506.0</v>
      </c>
      <c r="B508" s="42" t="s">
        <v>1373</v>
      </c>
      <c r="C508" s="51"/>
      <c r="D508" s="156"/>
      <c r="E508" s="90">
        <v>10304.0</v>
      </c>
      <c r="F508" s="53">
        <v>225.0</v>
      </c>
      <c r="G508" s="80"/>
      <c r="H508" s="160">
        <v>45785.0</v>
      </c>
      <c r="I508" s="58" t="b">
        <v>1</v>
      </c>
      <c r="J508" s="60" t="b">
        <v>1</v>
      </c>
      <c r="K508" s="159">
        <f t="shared" si="1"/>
        <v>45969</v>
      </c>
      <c r="L508" s="54" t="s">
        <v>36</v>
      </c>
    </row>
    <row r="509">
      <c r="A509" s="29">
        <v>507.0</v>
      </c>
      <c r="B509" s="42" t="s">
        <v>1374</v>
      </c>
      <c r="C509" s="51"/>
      <c r="D509" s="156"/>
      <c r="E509" s="90">
        <v>10305.0</v>
      </c>
      <c r="F509" s="53">
        <v>225.0</v>
      </c>
      <c r="G509" s="80"/>
      <c r="H509" s="160">
        <v>45785.0</v>
      </c>
      <c r="I509" s="58" t="b">
        <v>1</v>
      </c>
      <c r="J509" s="60" t="b">
        <v>1</v>
      </c>
      <c r="K509" s="159">
        <f t="shared" si="1"/>
        <v>45969</v>
      </c>
      <c r="L509" s="54" t="s">
        <v>36</v>
      </c>
    </row>
    <row r="510">
      <c r="A510" s="29">
        <v>508.0</v>
      </c>
      <c r="B510" s="42" t="s">
        <v>1375</v>
      </c>
      <c r="C510" s="51"/>
      <c r="D510" s="156"/>
      <c r="E510" s="90">
        <v>10306.0</v>
      </c>
      <c r="F510" s="53">
        <v>225.0</v>
      </c>
      <c r="G510" s="80"/>
      <c r="H510" s="160">
        <v>45786.0</v>
      </c>
      <c r="I510" s="58" t="b">
        <v>1</v>
      </c>
      <c r="J510" s="60" t="b">
        <v>1</v>
      </c>
      <c r="K510" s="159">
        <f t="shared" si="1"/>
        <v>45970</v>
      </c>
      <c r="L510" s="54" t="s">
        <v>36</v>
      </c>
    </row>
    <row r="511">
      <c r="A511" s="29">
        <v>509.0</v>
      </c>
      <c r="B511" s="42" t="s">
        <v>1376</v>
      </c>
      <c r="C511" s="51"/>
      <c r="D511" s="156"/>
      <c r="E511" s="90">
        <v>10307.0</v>
      </c>
      <c r="F511" s="53">
        <v>225.0</v>
      </c>
      <c r="G511" s="80"/>
      <c r="H511" s="160">
        <v>45788.0</v>
      </c>
      <c r="I511" s="58" t="b">
        <v>1</v>
      </c>
      <c r="J511" s="113" t="b">
        <v>0</v>
      </c>
      <c r="K511" s="159">
        <f t="shared" si="1"/>
        <v>45972</v>
      </c>
      <c r="L511" s="54" t="s">
        <v>36</v>
      </c>
    </row>
    <row r="512">
      <c r="A512" s="29">
        <v>510.0</v>
      </c>
      <c r="B512" s="42" t="s">
        <v>1377</v>
      </c>
      <c r="C512" s="51"/>
      <c r="D512" s="156"/>
      <c r="E512" s="90">
        <v>10308.0</v>
      </c>
      <c r="F512" s="53">
        <v>225.0</v>
      </c>
      <c r="G512" s="80"/>
      <c r="H512" s="160">
        <v>45789.0</v>
      </c>
      <c r="I512" s="58" t="b">
        <v>1</v>
      </c>
      <c r="J512" s="60" t="b">
        <v>1</v>
      </c>
      <c r="K512" s="159">
        <f t="shared" si="1"/>
        <v>45973</v>
      </c>
      <c r="L512" s="54" t="s">
        <v>36</v>
      </c>
    </row>
    <row r="513">
      <c r="A513" s="29">
        <v>511.0</v>
      </c>
      <c r="B513" s="42" t="s">
        <v>1378</v>
      </c>
      <c r="C513" s="51"/>
      <c r="D513" s="156"/>
      <c r="E513" s="90">
        <v>10309.0</v>
      </c>
      <c r="F513" s="53">
        <v>225.0</v>
      </c>
      <c r="G513" s="80"/>
      <c r="H513" s="160">
        <v>45790.0</v>
      </c>
      <c r="I513" s="58" t="b">
        <v>1</v>
      </c>
      <c r="J513" s="60" t="b">
        <v>1</v>
      </c>
      <c r="K513" s="159">
        <f t="shared" si="1"/>
        <v>45974</v>
      </c>
      <c r="L513" s="54" t="s">
        <v>36</v>
      </c>
    </row>
    <row r="514">
      <c r="A514" s="29">
        <v>512.0</v>
      </c>
      <c r="B514" s="42" t="s">
        <v>1379</v>
      </c>
      <c r="C514" s="51"/>
      <c r="D514" s="156"/>
      <c r="E514" s="90">
        <v>10310.0</v>
      </c>
      <c r="F514" s="53">
        <v>225.0</v>
      </c>
      <c r="G514" s="80"/>
      <c r="H514" s="160">
        <v>45790.0</v>
      </c>
      <c r="I514" s="58" t="b">
        <v>1</v>
      </c>
      <c r="J514" s="60" t="b">
        <v>1</v>
      </c>
      <c r="K514" s="159">
        <f t="shared" si="1"/>
        <v>45974</v>
      </c>
      <c r="L514" s="54" t="s">
        <v>36</v>
      </c>
    </row>
    <row r="515">
      <c r="A515" s="29">
        <v>513.0</v>
      </c>
      <c r="B515" s="42" t="s">
        <v>1380</v>
      </c>
      <c r="C515" s="51"/>
      <c r="D515" s="156"/>
      <c r="E515" s="90">
        <v>10311.0</v>
      </c>
      <c r="F515" s="53">
        <v>225.0</v>
      </c>
      <c r="G515" s="80"/>
      <c r="H515" s="160">
        <v>45792.0</v>
      </c>
      <c r="I515" s="58" t="b">
        <v>1</v>
      </c>
      <c r="J515" s="60" t="b">
        <v>1</v>
      </c>
      <c r="K515" s="159">
        <f t="shared" si="1"/>
        <v>45976</v>
      </c>
      <c r="L515" s="54" t="s">
        <v>36</v>
      </c>
    </row>
    <row r="516">
      <c r="A516" s="29">
        <v>514.0</v>
      </c>
      <c r="B516" s="42" t="s">
        <v>1381</v>
      </c>
      <c r="C516" s="51"/>
      <c r="D516" s="156"/>
      <c r="E516" s="90">
        <v>10312.0</v>
      </c>
      <c r="F516" s="53">
        <v>225.0</v>
      </c>
      <c r="G516" s="80"/>
      <c r="H516" s="160">
        <v>45793.0</v>
      </c>
      <c r="I516" s="58" t="b">
        <v>1</v>
      </c>
      <c r="J516" s="60" t="b">
        <v>1</v>
      </c>
      <c r="K516" s="159">
        <f t="shared" si="1"/>
        <v>45977</v>
      </c>
      <c r="L516" s="54" t="s">
        <v>36</v>
      </c>
    </row>
    <row r="517">
      <c r="A517" s="29">
        <v>515.0</v>
      </c>
      <c r="B517" s="42" t="s">
        <v>1382</v>
      </c>
      <c r="C517" s="51"/>
      <c r="D517" s="156"/>
      <c r="E517" s="90">
        <v>10313.0</v>
      </c>
      <c r="F517" s="53">
        <v>225.0</v>
      </c>
      <c r="G517" s="80"/>
      <c r="H517" s="160">
        <v>45795.0</v>
      </c>
      <c r="I517" s="58" t="b">
        <v>1</v>
      </c>
      <c r="J517" s="60" t="b">
        <v>1</v>
      </c>
      <c r="K517" s="159">
        <f t="shared" si="1"/>
        <v>45979</v>
      </c>
      <c r="L517" s="54" t="s">
        <v>36</v>
      </c>
    </row>
    <row r="518">
      <c r="A518" s="29">
        <v>516.0</v>
      </c>
      <c r="B518" s="42" t="s">
        <v>1383</v>
      </c>
      <c r="C518" s="51"/>
      <c r="D518" s="156"/>
      <c r="E518" s="90">
        <v>10314.0</v>
      </c>
      <c r="F518" s="53">
        <v>225.0</v>
      </c>
      <c r="G518" s="80"/>
      <c r="H518" s="160">
        <v>45797.0</v>
      </c>
      <c r="I518" s="58" t="b">
        <v>1</v>
      </c>
      <c r="J518" s="60" t="b">
        <v>1</v>
      </c>
      <c r="K518" s="159">
        <f t="shared" si="1"/>
        <v>45981</v>
      </c>
      <c r="L518" s="54" t="s">
        <v>36</v>
      </c>
    </row>
    <row r="519">
      <c r="A519" s="29">
        <v>517.0</v>
      </c>
      <c r="B519" s="42" t="s">
        <v>1384</v>
      </c>
      <c r="C519" s="51"/>
      <c r="D519" s="156"/>
      <c r="E519" s="90">
        <v>10315.0</v>
      </c>
      <c r="F519" s="53">
        <v>225.0</v>
      </c>
      <c r="G519" s="80"/>
      <c r="H519" s="160">
        <v>45800.0</v>
      </c>
      <c r="I519" s="58" t="b">
        <v>1</v>
      </c>
      <c r="J519" s="60" t="b">
        <v>1</v>
      </c>
      <c r="K519" s="159">
        <f t="shared" si="1"/>
        <v>45984</v>
      </c>
      <c r="L519" s="54" t="s">
        <v>36</v>
      </c>
    </row>
    <row r="520">
      <c r="A520" s="29">
        <v>518.0</v>
      </c>
      <c r="B520" s="42" t="s">
        <v>1385</v>
      </c>
      <c r="C520" s="51"/>
      <c r="D520" s="156"/>
      <c r="E520" s="90">
        <v>10316.0</v>
      </c>
      <c r="F520" s="53">
        <v>225.0</v>
      </c>
      <c r="G520" s="80"/>
      <c r="H520" s="160">
        <v>45803.0</v>
      </c>
      <c r="I520" s="58" t="b">
        <v>1</v>
      </c>
      <c r="J520" s="113" t="b">
        <v>0</v>
      </c>
      <c r="K520" s="159">
        <f t="shared" si="1"/>
        <v>45987</v>
      </c>
      <c r="L520" s="54" t="s">
        <v>36</v>
      </c>
    </row>
    <row r="521">
      <c r="A521" s="29">
        <v>519.0</v>
      </c>
      <c r="B521" s="42" t="s">
        <v>1385</v>
      </c>
      <c r="C521" s="51"/>
      <c r="D521" s="156"/>
      <c r="E521" s="90">
        <v>10317.0</v>
      </c>
      <c r="F521" s="53">
        <v>225.0</v>
      </c>
      <c r="G521" s="80"/>
      <c r="H521" s="160">
        <v>45803.0</v>
      </c>
      <c r="I521" s="58" t="b">
        <v>1</v>
      </c>
      <c r="J521" s="113" t="b">
        <v>0</v>
      </c>
      <c r="K521" s="159">
        <f t="shared" si="1"/>
        <v>45987</v>
      </c>
      <c r="L521" s="54" t="s">
        <v>36</v>
      </c>
    </row>
    <row r="522">
      <c r="A522" s="29">
        <v>520.0</v>
      </c>
      <c r="B522" s="42" t="s">
        <v>1385</v>
      </c>
      <c r="C522" s="51"/>
      <c r="D522" s="156"/>
      <c r="E522" s="90">
        <v>10318.0</v>
      </c>
      <c r="F522" s="53">
        <v>225.0</v>
      </c>
      <c r="G522" s="80"/>
      <c r="H522" s="160">
        <v>45803.0</v>
      </c>
      <c r="I522" s="58" t="b">
        <v>1</v>
      </c>
      <c r="J522" s="60" t="b">
        <v>1</v>
      </c>
      <c r="K522" s="159">
        <f t="shared" si="1"/>
        <v>45987</v>
      </c>
      <c r="L522" s="54" t="s">
        <v>36</v>
      </c>
    </row>
    <row r="523">
      <c r="A523" s="29">
        <v>521.0</v>
      </c>
      <c r="B523" s="42" t="s">
        <v>1385</v>
      </c>
      <c r="C523" s="51"/>
      <c r="D523" s="156"/>
      <c r="E523" s="90">
        <v>10319.0</v>
      </c>
      <c r="F523" s="53">
        <v>225.0</v>
      </c>
      <c r="G523" s="80"/>
      <c r="H523" s="160">
        <v>45803.0</v>
      </c>
      <c r="I523" s="58" t="b">
        <v>1</v>
      </c>
      <c r="J523" s="60" t="b">
        <v>1</v>
      </c>
      <c r="K523" s="159">
        <f t="shared" si="1"/>
        <v>45987</v>
      </c>
      <c r="L523" s="54" t="s">
        <v>36</v>
      </c>
    </row>
    <row r="524">
      <c r="A524" s="29">
        <v>522.0</v>
      </c>
      <c r="B524" s="42" t="s">
        <v>1385</v>
      </c>
      <c r="C524" s="51"/>
      <c r="D524" s="156"/>
      <c r="E524" s="90">
        <v>10320.0</v>
      </c>
      <c r="F524" s="53">
        <v>225.0</v>
      </c>
      <c r="G524" s="80"/>
      <c r="H524" s="160">
        <v>45804.0</v>
      </c>
      <c r="I524" s="58" t="b">
        <v>1</v>
      </c>
      <c r="J524" s="60" t="b">
        <v>1</v>
      </c>
      <c r="K524" s="159">
        <f t="shared" si="1"/>
        <v>45988</v>
      </c>
      <c r="L524" s="54" t="s">
        <v>36</v>
      </c>
    </row>
    <row r="525">
      <c r="A525" s="29">
        <v>523.0</v>
      </c>
      <c r="B525" s="42" t="s">
        <v>1386</v>
      </c>
      <c r="C525" s="51"/>
      <c r="D525" s="156"/>
      <c r="E525" s="90">
        <v>10321.0</v>
      </c>
      <c r="F525" s="53">
        <v>225.0</v>
      </c>
      <c r="G525" s="80"/>
      <c r="H525" s="160">
        <v>45806.0</v>
      </c>
      <c r="I525" s="58" t="b">
        <v>1</v>
      </c>
      <c r="J525" s="60" t="b">
        <v>1</v>
      </c>
      <c r="K525" s="159">
        <f t="shared" si="1"/>
        <v>45990</v>
      </c>
      <c r="L525" s="54" t="s">
        <v>36</v>
      </c>
    </row>
    <row r="526">
      <c r="A526" s="29">
        <v>524.0</v>
      </c>
      <c r="B526" s="42" t="s">
        <v>1387</v>
      </c>
      <c r="C526" s="51"/>
      <c r="D526" s="156"/>
      <c r="E526" s="90">
        <v>10322.0</v>
      </c>
      <c r="F526" s="53">
        <v>225.0</v>
      </c>
      <c r="G526" s="80"/>
      <c r="H526" s="160">
        <v>45808.0</v>
      </c>
      <c r="I526" s="58" t="b">
        <v>1</v>
      </c>
      <c r="J526" s="60" t="b">
        <v>1</v>
      </c>
      <c r="K526" s="159">
        <f t="shared" si="1"/>
        <v>45991</v>
      </c>
      <c r="L526" s="54" t="s">
        <v>36</v>
      </c>
    </row>
    <row r="527">
      <c r="A527" s="29">
        <v>525.0</v>
      </c>
      <c r="B527" s="42" t="s">
        <v>1388</v>
      </c>
      <c r="C527" s="51"/>
      <c r="D527" s="156"/>
      <c r="E527" s="90">
        <v>10323.0</v>
      </c>
      <c r="F527" s="53">
        <v>225.0</v>
      </c>
      <c r="G527" s="80"/>
      <c r="H527" s="160">
        <v>45811.0</v>
      </c>
      <c r="I527" s="58" t="b">
        <v>1</v>
      </c>
      <c r="J527" s="60" t="b">
        <v>1</v>
      </c>
      <c r="K527" s="159">
        <f t="shared" si="1"/>
        <v>45994</v>
      </c>
      <c r="L527" s="54" t="s">
        <v>36</v>
      </c>
    </row>
    <row r="528">
      <c r="A528" s="29">
        <v>526.0</v>
      </c>
      <c r="B528" s="42" t="s">
        <v>1389</v>
      </c>
      <c r="C528" s="51"/>
      <c r="D528" s="156"/>
      <c r="E528" s="90">
        <v>10324.0</v>
      </c>
      <c r="F528" s="53">
        <v>225.0</v>
      </c>
      <c r="G528" s="80"/>
      <c r="H528" s="160">
        <v>45812.0</v>
      </c>
      <c r="I528" s="58" t="b">
        <v>1</v>
      </c>
      <c r="J528" s="113" t="b">
        <v>0</v>
      </c>
      <c r="K528" s="159">
        <f t="shared" si="1"/>
        <v>45995</v>
      </c>
      <c r="L528" s="54" t="s">
        <v>36</v>
      </c>
    </row>
    <row r="529">
      <c r="A529" s="29">
        <v>527.0</v>
      </c>
      <c r="B529" s="42" t="s">
        <v>1390</v>
      </c>
      <c r="C529" s="51"/>
      <c r="D529" s="156"/>
      <c r="E529" s="90">
        <v>10325.0</v>
      </c>
      <c r="F529" s="53">
        <v>225.0</v>
      </c>
      <c r="G529" s="80"/>
      <c r="H529" s="160">
        <v>45812.0</v>
      </c>
      <c r="I529" s="58" t="b">
        <v>1</v>
      </c>
      <c r="J529" s="60" t="b">
        <v>1</v>
      </c>
      <c r="K529" s="159">
        <f t="shared" si="1"/>
        <v>45995</v>
      </c>
      <c r="L529" s="54" t="s">
        <v>36</v>
      </c>
    </row>
    <row r="530">
      <c r="A530" s="29">
        <v>528.0</v>
      </c>
      <c r="B530" s="42" t="s">
        <v>1391</v>
      </c>
      <c r="C530" s="51"/>
      <c r="D530" s="156"/>
      <c r="E530" s="90">
        <v>10326.0</v>
      </c>
      <c r="F530" s="53">
        <v>225.0</v>
      </c>
      <c r="G530" s="80"/>
      <c r="H530" s="160">
        <v>45813.0</v>
      </c>
      <c r="I530" s="58" t="b">
        <v>1</v>
      </c>
      <c r="J530" s="60" t="b">
        <v>1</v>
      </c>
      <c r="K530" s="159">
        <f t="shared" si="1"/>
        <v>45996</v>
      </c>
      <c r="L530" s="54" t="s">
        <v>36</v>
      </c>
    </row>
    <row r="531">
      <c r="A531" s="29">
        <v>529.0</v>
      </c>
      <c r="B531" s="42" t="s">
        <v>1392</v>
      </c>
      <c r="C531" s="51"/>
      <c r="D531" s="156"/>
      <c r="E531" s="90">
        <v>10327.0</v>
      </c>
      <c r="F531" s="53">
        <v>225.0</v>
      </c>
      <c r="G531" s="80"/>
      <c r="H531" s="160">
        <v>45814.0</v>
      </c>
      <c r="I531" s="58" t="b">
        <v>1</v>
      </c>
      <c r="J531" s="60" t="b">
        <v>1</v>
      </c>
      <c r="K531" s="159">
        <f t="shared" si="1"/>
        <v>45997</v>
      </c>
      <c r="L531" s="54" t="s">
        <v>36</v>
      </c>
    </row>
    <row r="532">
      <c r="A532" s="29">
        <v>530.0</v>
      </c>
      <c r="B532" s="42" t="s">
        <v>1393</v>
      </c>
      <c r="C532" s="51"/>
      <c r="D532" s="156"/>
      <c r="E532" s="90">
        <v>10328.0</v>
      </c>
      <c r="F532" s="53">
        <v>225.0</v>
      </c>
      <c r="G532" s="80"/>
      <c r="H532" s="160">
        <v>45816.0</v>
      </c>
      <c r="I532" s="58" t="b">
        <v>1</v>
      </c>
      <c r="J532" s="60" t="b">
        <v>1</v>
      </c>
      <c r="K532" s="159">
        <f t="shared" si="1"/>
        <v>45999</v>
      </c>
      <c r="L532" s="54" t="s">
        <v>36</v>
      </c>
    </row>
    <row r="533">
      <c r="A533" s="29">
        <v>531.0</v>
      </c>
      <c r="B533" s="42" t="s">
        <v>1393</v>
      </c>
      <c r="C533" s="51"/>
      <c r="D533" s="156"/>
      <c r="E533" s="90">
        <v>10329.0</v>
      </c>
      <c r="F533" s="53">
        <v>225.0</v>
      </c>
      <c r="G533" s="80"/>
      <c r="H533" s="160">
        <v>45816.0</v>
      </c>
      <c r="I533" s="58" t="b">
        <v>1</v>
      </c>
      <c r="J533" s="60" t="b">
        <v>1</v>
      </c>
      <c r="K533" s="159">
        <f t="shared" si="1"/>
        <v>45999</v>
      </c>
      <c r="L533" s="54" t="s">
        <v>36</v>
      </c>
    </row>
    <row r="534">
      <c r="A534" s="29">
        <v>532.0</v>
      </c>
      <c r="B534" s="42" t="s">
        <v>1393</v>
      </c>
      <c r="C534" s="51"/>
      <c r="D534" s="156"/>
      <c r="E534" s="90">
        <v>10330.0</v>
      </c>
      <c r="F534" s="53">
        <v>225.0</v>
      </c>
      <c r="G534" s="80"/>
      <c r="H534" s="160">
        <v>45816.0</v>
      </c>
      <c r="I534" s="58" t="b">
        <v>1</v>
      </c>
      <c r="J534" s="60" t="b">
        <v>1</v>
      </c>
      <c r="K534" s="159">
        <f t="shared" si="1"/>
        <v>45999</v>
      </c>
      <c r="L534" s="54" t="s">
        <v>36</v>
      </c>
    </row>
    <row r="535">
      <c r="A535" s="29">
        <v>533.0</v>
      </c>
      <c r="B535" s="42" t="s">
        <v>1393</v>
      </c>
      <c r="C535" s="51"/>
      <c r="D535" s="156"/>
      <c r="E535" s="90">
        <v>10331.0</v>
      </c>
      <c r="F535" s="53">
        <v>225.0</v>
      </c>
      <c r="G535" s="80"/>
      <c r="H535" s="160">
        <v>45816.0</v>
      </c>
      <c r="I535" s="58" t="b">
        <v>1</v>
      </c>
      <c r="J535" s="60" t="b">
        <v>1</v>
      </c>
      <c r="K535" s="159">
        <f t="shared" si="1"/>
        <v>45999</v>
      </c>
      <c r="L535" s="54" t="s">
        <v>36</v>
      </c>
    </row>
    <row r="536">
      <c r="A536" s="29">
        <v>534.0</v>
      </c>
      <c r="B536" s="42" t="s">
        <v>1394</v>
      </c>
      <c r="C536" s="51"/>
      <c r="D536" s="156"/>
      <c r="E536" s="90">
        <v>10332.0</v>
      </c>
      <c r="F536" s="53">
        <v>225.0</v>
      </c>
      <c r="G536" s="80"/>
      <c r="H536" s="160">
        <v>45818.0</v>
      </c>
      <c r="I536" s="58" t="b">
        <v>1</v>
      </c>
      <c r="J536" s="60" t="b">
        <v>1</v>
      </c>
      <c r="K536" s="159">
        <f t="shared" si="1"/>
        <v>46001</v>
      </c>
      <c r="L536" s="54" t="s">
        <v>36</v>
      </c>
    </row>
    <row r="537">
      <c r="A537" s="29">
        <v>535.0</v>
      </c>
      <c r="B537" s="42" t="s">
        <v>1395</v>
      </c>
      <c r="C537" s="51"/>
      <c r="D537" s="156"/>
      <c r="E537" s="90">
        <v>10333.0</v>
      </c>
      <c r="F537" s="53">
        <v>225.0</v>
      </c>
      <c r="G537" s="80"/>
      <c r="H537" s="160">
        <v>45822.0</v>
      </c>
      <c r="I537" s="58" t="b">
        <v>1</v>
      </c>
      <c r="J537" s="60" t="b">
        <v>1</v>
      </c>
      <c r="K537" s="159">
        <f t="shared" si="1"/>
        <v>46005</v>
      </c>
      <c r="L537" s="54" t="s">
        <v>36</v>
      </c>
    </row>
    <row r="538">
      <c r="A538" s="29">
        <v>536.0</v>
      </c>
      <c r="B538" s="42" t="s">
        <v>1396</v>
      </c>
      <c r="C538" s="51"/>
      <c r="D538" s="156"/>
      <c r="E538" s="90">
        <v>10334.0</v>
      </c>
      <c r="F538" s="53">
        <v>225.0</v>
      </c>
      <c r="G538" s="80"/>
      <c r="H538" s="160">
        <v>45825.0</v>
      </c>
      <c r="I538" s="58" t="b">
        <v>1</v>
      </c>
      <c r="J538" s="60" t="b">
        <v>1</v>
      </c>
      <c r="K538" s="159">
        <f t="shared" si="1"/>
        <v>46008</v>
      </c>
      <c r="L538" s="54" t="s">
        <v>36</v>
      </c>
    </row>
    <row r="539">
      <c r="A539" s="29">
        <v>537.0</v>
      </c>
      <c r="B539" s="42" t="s">
        <v>1397</v>
      </c>
      <c r="C539" s="51"/>
      <c r="D539" s="156"/>
      <c r="E539" s="90">
        <v>10335.0</v>
      </c>
      <c r="F539" s="53">
        <v>225.0</v>
      </c>
      <c r="G539" s="80"/>
      <c r="H539" s="160">
        <v>45827.0</v>
      </c>
      <c r="I539" s="58" t="b">
        <v>1</v>
      </c>
      <c r="J539" s="60" t="b">
        <v>1</v>
      </c>
      <c r="K539" s="159">
        <f t="shared" si="1"/>
        <v>46010</v>
      </c>
      <c r="L539" s="54" t="s">
        <v>36</v>
      </c>
    </row>
    <row r="540">
      <c r="A540" s="29">
        <v>538.0</v>
      </c>
      <c r="B540" s="42" t="s">
        <v>1398</v>
      </c>
      <c r="C540" s="51"/>
      <c r="D540" s="156"/>
      <c r="E540" s="90">
        <v>10336.0</v>
      </c>
      <c r="F540" s="53">
        <v>225.0</v>
      </c>
      <c r="G540" s="80"/>
      <c r="H540" s="160">
        <v>45827.0</v>
      </c>
      <c r="I540" s="58" t="b">
        <v>1</v>
      </c>
      <c r="J540" s="60" t="b">
        <v>1</v>
      </c>
      <c r="K540" s="159">
        <f t="shared" si="1"/>
        <v>46010</v>
      </c>
      <c r="L540" s="54" t="s">
        <v>36</v>
      </c>
    </row>
    <row r="541">
      <c r="A541" s="29">
        <v>539.0</v>
      </c>
      <c r="B541" s="42" t="s">
        <v>1399</v>
      </c>
      <c r="C541" s="51"/>
      <c r="D541" s="156"/>
      <c r="E541" s="90">
        <v>10337.0</v>
      </c>
      <c r="F541" s="53">
        <v>225.0</v>
      </c>
      <c r="G541" s="80"/>
      <c r="H541" s="160">
        <v>45831.0</v>
      </c>
      <c r="I541" s="58" t="b">
        <v>1</v>
      </c>
      <c r="J541" s="113" t="b">
        <v>0</v>
      </c>
      <c r="K541" s="159">
        <f t="shared" si="1"/>
        <v>46014</v>
      </c>
      <c r="L541" s="54" t="s">
        <v>36</v>
      </c>
    </row>
    <row r="542">
      <c r="A542" s="29">
        <v>540.0</v>
      </c>
      <c r="B542" s="42" t="s">
        <v>1400</v>
      </c>
      <c r="C542" s="51"/>
      <c r="D542" s="156"/>
      <c r="E542" s="90">
        <v>10338.0</v>
      </c>
      <c r="F542" s="53">
        <v>225.0</v>
      </c>
      <c r="G542" s="80"/>
      <c r="H542" s="160">
        <v>45833.0</v>
      </c>
      <c r="I542" s="58" t="b">
        <v>1</v>
      </c>
      <c r="J542" s="113" t="b">
        <v>0</v>
      </c>
      <c r="K542" s="159">
        <f t="shared" si="1"/>
        <v>46016</v>
      </c>
      <c r="L542" s="54" t="s">
        <v>36</v>
      </c>
    </row>
    <row r="543">
      <c r="A543" s="29">
        <v>541.0</v>
      </c>
      <c r="B543" s="42" t="s">
        <v>1401</v>
      </c>
      <c r="C543" s="51"/>
      <c r="D543" s="156"/>
      <c r="E543" s="90">
        <v>10339.0</v>
      </c>
      <c r="F543" s="53">
        <v>225.0</v>
      </c>
      <c r="G543" s="80"/>
      <c r="H543" s="160">
        <v>45838.0</v>
      </c>
      <c r="I543" s="58" t="b">
        <v>1</v>
      </c>
      <c r="J543" s="60" t="b">
        <v>1</v>
      </c>
      <c r="K543" s="159">
        <f t="shared" si="1"/>
        <v>46021</v>
      </c>
      <c r="L543" s="54" t="s">
        <v>36</v>
      </c>
    </row>
    <row r="544">
      <c r="A544" s="29">
        <v>542.0</v>
      </c>
      <c r="B544" s="42" t="s">
        <v>1402</v>
      </c>
      <c r="C544" s="51"/>
      <c r="D544" s="156"/>
      <c r="E544" s="90">
        <v>10340.0</v>
      </c>
      <c r="F544" s="53">
        <v>225.0</v>
      </c>
      <c r="G544" s="80"/>
      <c r="H544" s="160">
        <v>45839.0</v>
      </c>
      <c r="I544" s="58" t="b">
        <v>1</v>
      </c>
      <c r="J544" s="60" t="b">
        <v>1</v>
      </c>
      <c r="K544" s="159">
        <f t="shared" si="1"/>
        <v>46023</v>
      </c>
      <c r="L544" s="54" t="s">
        <v>36</v>
      </c>
    </row>
    <row r="545">
      <c r="A545" s="29">
        <v>543.0</v>
      </c>
      <c r="B545" s="42" t="s">
        <v>1403</v>
      </c>
      <c r="C545" s="51"/>
      <c r="D545" s="156"/>
      <c r="E545" s="90">
        <v>10341.0</v>
      </c>
      <c r="F545" s="53">
        <v>225.0</v>
      </c>
      <c r="G545" s="80"/>
      <c r="H545" s="160">
        <v>45839.0</v>
      </c>
      <c r="I545" s="58" t="b">
        <v>1</v>
      </c>
      <c r="J545" s="60" t="b">
        <v>1</v>
      </c>
      <c r="K545" s="159">
        <f t="shared" si="1"/>
        <v>46023</v>
      </c>
      <c r="L545" s="54" t="s">
        <v>36</v>
      </c>
    </row>
    <row r="546">
      <c r="A546" s="29">
        <v>544.0</v>
      </c>
      <c r="B546" s="42" t="s">
        <v>1404</v>
      </c>
      <c r="C546" s="51"/>
      <c r="D546" s="156"/>
      <c r="E546" s="90">
        <v>10342.0</v>
      </c>
      <c r="F546" s="53">
        <v>225.0</v>
      </c>
      <c r="G546" s="80"/>
      <c r="H546" s="160">
        <v>45840.0</v>
      </c>
      <c r="I546" s="58" t="b">
        <v>1</v>
      </c>
      <c r="J546" s="60" t="b">
        <v>1</v>
      </c>
      <c r="K546" s="159">
        <f t="shared" si="1"/>
        <v>46024</v>
      </c>
      <c r="L546" s="54" t="s">
        <v>36</v>
      </c>
    </row>
    <row r="547">
      <c r="A547" s="29">
        <v>545.0</v>
      </c>
      <c r="B547" s="42" t="s">
        <v>1405</v>
      </c>
      <c r="C547" s="51"/>
      <c r="D547" s="156"/>
      <c r="E547" s="90">
        <v>10343.0</v>
      </c>
      <c r="F547" s="53">
        <v>225.0</v>
      </c>
      <c r="G547" s="80"/>
      <c r="H547" s="160">
        <v>45840.0</v>
      </c>
      <c r="I547" s="58" t="b">
        <v>1</v>
      </c>
      <c r="J547" s="113" t="b">
        <v>0</v>
      </c>
      <c r="K547" s="159">
        <f t="shared" si="1"/>
        <v>46024</v>
      </c>
      <c r="L547" s="54" t="s">
        <v>36</v>
      </c>
    </row>
    <row r="548">
      <c r="A548" s="29">
        <v>546.0</v>
      </c>
      <c r="B548" s="42" t="s">
        <v>1406</v>
      </c>
      <c r="C548" s="51"/>
      <c r="D548" s="156"/>
      <c r="E548" s="90">
        <v>10344.0</v>
      </c>
      <c r="F548" s="53">
        <v>225.0</v>
      </c>
      <c r="G548" s="80"/>
      <c r="H548" s="160">
        <v>45840.0</v>
      </c>
      <c r="I548" s="58" t="b">
        <v>1</v>
      </c>
      <c r="J548" s="60" t="b">
        <v>1</v>
      </c>
      <c r="K548" s="159">
        <f t="shared" si="1"/>
        <v>46024</v>
      </c>
      <c r="L548" s="54" t="s">
        <v>36</v>
      </c>
    </row>
    <row r="549">
      <c r="A549" s="29">
        <v>547.0</v>
      </c>
      <c r="B549" s="42" t="s">
        <v>1405</v>
      </c>
      <c r="C549" s="51"/>
      <c r="D549" s="156"/>
      <c r="E549" s="90">
        <v>10345.0</v>
      </c>
      <c r="F549" s="53">
        <v>225.0</v>
      </c>
      <c r="G549" s="80"/>
      <c r="H549" s="160">
        <v>45841.0</v>
      </c>
      <c r="I549" s="58" t="b">
        <v>1</v>
      </c>
      <c r="J549" s="60" t="b">
        <v>1</v>
      </c>
      <c r="K549" s="159">
        <f t="shared" si="1"/>
        <v>46025</v>
      </c>
      <c r="L549" s="54" t="s">
        <v>36</v>
      </c>
    </row>
    <row r="550">
      <c r="A550" s="29">
        <v>548.0</v>
      </c>
      <c r="B550" s="42" t="s">
        <v>1407</v>
      </c>
      <c r="C550" s="51"/>
      <c r="D550" s="156"/>
      <c r="E550" s="90">
        <v>10346.0</v>
      </c>
      <c r="F550" s="53">
        <v>225.0</v>
      </c>
      <c r="G550" s="80"/>
      <c r="H550" s="160">
        <v>45841.0</v>
      </c>
      <c r="I550" s="58" t="b">
        <v>1</v>
      </c>
      <c r="J550" s="113" t="b">
        <v>0</v>
      </c>
      <c r="K550" s="159">
        <f t="shared" si="1"/>
        <v>46025</v>
      </c>
      <c r="L550" s="54" t="s">
        <v>36</v>
      </c>
    </row>
    <row r="551">
      <c r="A551" s="29">
        <v>549.0</v>
      </c>
      <c r="B551" s="42" t="s">
        <v>1408</v>
      </c>
      <c r="C551" s="51"/>
      <c r="D551" s="156"/>
      <c r="E551" s="90">
        <v>10347.0</v>
      </c>
      <c r="F551" s="53">
        <v>225.0</v>
      </c>
      <c r="G551" s="80"/>
      <c r="H551" s="160">
        <v>45845.0</v>
      </c>
      <c r="I551" s="58" t="b">
        <v>1</v>
      </c>
      <c r="J551" s="113" t="b">
        <v>0</v>
      </c>
      <c r="K551" s="159">
        <f t="shared" si="1"/>
        <v>46029</v>
      </c>
      <c r="L551" s="54" t="s">
        <v>36</v>
      </c>
    </row>
    <row r="552">
      <c r="A552" s="29">
        <v>550.0</v>
      </c>
      <c r="B552" s="42" t="s">
        <v>1409</v>
      </c>
      <c r="C552" s="51"/>
      <c r="D552" s="156"/>
      <c r="E552" s="90">
        <v>10348.0</v>
      </c>
      <c r="F552" s="53">
        <v>225.0</v>
      </c>
      <c r="G552" s="80"/>
      <c r="H552" s="160">
        <v>45846.0</v>
      </c>
      <c r="I552" s="58" t="b">
        <v>1</v>
      </c>
      <c r="J552" s="60" t="b">
        <v>1</v>
      </c>
      <c r="K552" s="159">
        <f t="shared" si="1"/>
        <v>46030</v>
      </c>
      <c r="L552" s="54" t="s">
        <v>36</v>
      </c>
    </row>
    <row r="553">
      <c r="A553" s="29">
        <v>551.0</v>
      </c>
      <c r="B553" s="42" t="s">
        <v>1410</v>
      </c>
      <c r="C553" s="51"/>
      <c r="D553" s="156"/>
      <c r="E553" s="90">
        <v>10349.0</v>
      </c>
      <c r="F553" s="53">
        <v>225.0</v>
      </c>
      <c r="G553" s="80"/>
      <c r="H553" s="160">
        <v>45846.0</v>
      </c>
      <c r="I553" s="58" t="b">
        <v>1</v>
      </c>
      <c r="J553" s="60" t="b">
        <v>1</v>
      </c>
      <c r="K553" s="159">
        <f t="shared" si="1"/>
        <v>46030</v>
      </c>
      <c r="L553" s="54" t="s">
        <v>36</v>
      </c>
    </row>
    <row r="554">
      <c r="A554" s="29">
        <v>552.0</v>
      </c>
      <c r="B554" s="42" t="s">
        <v>1411</v>
      </c>
      <c r="C554" s="51"/>
      <c r="D554" s="156"/>
      <c r="E554" s="90">
        <v>10350.0</v>
      </c>
      <c r="F554" s="53">
        <v>225.0</v>
      </c>
      <c r="G554" s="80"/>
      <c r="H554" s="160">
        <v>45848.0</v>
      </c>
      <c r="I554" s="58" t="b">
        <v>1</v>
      </c>
      <c r="J554" s="60" t="b">
        <v>1</v>
      </c>
      <c r="K554" s="159">
        <f t="shared" si="1"/>
        <v>46032</v>
      </c>
      <c r="L554" s="54" t="s">
        <v>36</v>
      </c>
    </row>
    <row r="555">
      <c r="A555" s="29">
        <v>553.0</v>
      </c>
      <c r="B555" s="42" t="s">
        <v>1412</v>
      </c>
      <c r="C555" s="51"/>
      <c r="D555" s="156"/>
      <c r="E555" s="90">
        <v>10351.0</v>
      </c>
      <c r="F555" s="53">
        <v>225.0</v>
      </c>
      <c r="G555" s="80"/>
      <c r="H555" s="160">
        <v>45848.0</v>
      </c>
      <c r="I555" s="58" t="b">
        <v>1</v>
      </c>
      <c r="J555" s="60" t="b">
        <v>1</v>
      </c>
      <c r="K555" s="159">
        <f t="shared" si="1"/>
        <v>46032</v>
      </c>
      <c r="L555" s="54" t="s">
        <v>36</v>
      </c>
    </row>
    <row r="556">
      <c r="A556" s="29">
        <v>554.0</v>
      </c>
      <c r="B556" s="42" t="s">
        <v>1385</v>
      </c>
      <c r="C556" s="51"/>
      <c r="D556" s="156"/>
      <c r="E556" s="90">
        <v>10352.0</v>
      </c>
      <c r="F556" s="53">
        <v>225.0</v>
      </c>
      <c r="G556" s="80"/>
      <c r="H556" s="160">
        <v>45849.0</v>
      </c>
      <c r="I556" s="58" t="b">
        <v>1</v>
      </c>
      <c r="J556" s="113" t="b">
        <v>0</v>
      </c>
      <c r="K556" s="159">
        <f t="shared" si="1"/>
        <v>46033</v>
      </c>
      <c r="L556" s="54" t="s">
        <v>36</v>
      </c>
    </row>
    <row r="557">
      <c r="A557" s="29">
        <v>555.0</v>
      </c>
      <c r="B557" s="42" t="s">
        <v>1385</v>
      </c>
      <c r="C557" s="51"/>
      <c r="D557" s="156"/>
      <c r="E557" s="90">
        <v>10353.0</v>
      </c>
      <c r="F557" s="53">
        <v>225.0</v>
      </c>
      <c r="G557" s="80"/>
      <c r="H557" s="160">
        <v>45849.0</v>
      </c>
      <c r="I557" s="58" t="b">
        <v>1</v>
      </c>
      <c r="J557" s="113" t="b">
        <v>0</v>
      </c>
      <c r="K557" s="159">
        <f t="shared" si="1"/>
        <v>46033</v>
      </c>
      <c r="L557" s="54" t="s">
        <v>36</v>
      </c>
    </row>
    <row r="558">
      <c r="A558" s="29">
        <v>556.0</v>
      </c>
      <c r="B558" s="42" t="s">
        <v>1413</v>
      </c>
      <c r="C558" s="51"/>
      <c r="D558" s="156"/>
      <c r="E558" s="90">
        <v>10354.0</v>
      </c>
      <c r="F558" s="53">
        <v>225.0</v>
      </c>
      <c r="G558" s="80"/>
      <c r="H558" s="160">
        <v>45851.0</v>
      </c>
      <c r="I558" s="58" t="b">
        <v>1</v>
      </c>
      <c r="J558" s="60" t="b">
        <v>1</v>
      </c>
      <c r="K558" s="159">
        <f t="shared" si="1"/>
        <v>46035</v>
      </c>
      <c r="L558" s="54" t="s">
        <v>36</v>
      </c>
    </row>
    <row r="559">
      <c r="A559" s="29">
        <v>557.0</v>
      </c>
      <c r="B559" s="42" t="s">
        <v>1414</v>
      </c>
      <c r="C559" s="51"/>
      <c r="D559" s="156"/>
      <c r="E559" s="90">
        <v>10355.0</v>
      </c>
      <c r="F559" s="53">
        <v>225.0</v>
      </c>
      <c r="G559" s="80"/>
      <c r="H559" s="160">
        <v>45853.0</v>
      </c>
      <c r="I559" s="58" t="b">
        <v>1</v>
      </c>
      <c r="J559" s="60" t="b">
        <v>1</v>
      </c>
      <c r="K559" s="159">
        <f t="shared" si="1"/>
        <v>46037</v>
      </c>
      <c r="L559" s="54" t="s">
        <v>36</v>
      </c>
    </row>
    <row r="560">
      <c r="A560" s="29">
        <v>558.0</v>
      </c>
      <c r="B560" s="42" t="s">
        <v>1415</v>
      </c>
      <c r="C560" s="51"/>
      <c r="D560" s="156"/>
      <c r="E560" s="90">
        <v>10356.0</v>
      </c>
      <c r="F560" s="53">
        <v>225.0</v>
      </c>
      <c r="G560" s="80"/>
      <c r="H560" s="160">
        <v>45854.0</v>
      </c>
      <c r="I560" s="58" t="b">
        <v>1</v>
      </c>
      <c r="J560" s="60" t="b">
        <v>1</v>
      </c>
      <c r="K560" s="159">
        <f t="shared" si="1"/>
        <v>46038</v>
      </c>
      <c r="L560" s="54" t="s">
        <v>36</v>
      </c>
    </row>
    <row r="561">
      <c r="A561" s="29">
        <v>559.0</v>
      </c>
      <c r="B561" s="42" t="s">
        <v>1416</v>
      </c>
      <c r="C561" s="51"/>
      <c r="D561" s="156"/>
      <c r="E561" s="90">
        <v>10357.0</v>
      </c>
      <c r="F561" s="53">
        <v>225.0</v>
      </c>
      <c r="G561" s="80"/>
      <c r="H561" s="160">
        <v>45855.0</v>
      </c>
      <c r="I561" s="58" t="b">
        <v>1</v>
      </c>
      <c r="J561" s="60" t="b">
        <v>1</v>
      </c>
      <c r="K561" s="159">
        <f t="shared" si="1"/>
        <v>46039</v>
      </c>
      <c r="L561" s="54" t="s">
        <v>36</v>
      </c>
    </row>
    <row r="562">
      <c r="A562" s="29">
        <v>560.0</v>
      </c>
      <c r="B562" s="42" t="s">
        <v>1417</v>
      </c>
      <c r="C562" s="51"/>
      <c r="D562" s="156"/>
      <c r="E562" s="90">
        <v>10358.0</v>
      </c>
      <c r="F562" s="53">
        <v>225.0</v>
      </c>
      <c r="G562" s="80"/>
      <c r="H562" s="160">
        <v>45859.0</v>
      </c>
      <c r="I562" s="58" t="b">
        <v>1</v>
      </c>
      <c r="J562" s="60" t="b">
        <v>1</v>
      </c>
      <c r="K562" s="159">
        <f t="shared" si="1"/>
        <v>46043</v>
      </c>
      <c r="L562" s="54" t="s">
        <v>36</v>
      </c>
    </row>
    <row r="563">
      <c r="A563" s="29">
        <v>561.0</v>
      </c>
      <c r="B563" s="42" t="s">
        <v>1418</v>
      </c>
      <c r="C563" s="51"/>
      <c r="D563" s="156"/>
      <c r="E563" s="90">
        <v>10359.0</v>
      </c>
      <c r="F563" s="53">
        <v>225.0</v>
      </c>
      <c r="G563" s="80"/>
      <c r="H563" s="160">
        <v>45861.0</v>
      </c>
      <c r="I563" s="58" t="b">
        <v>1</v>
      </c>
      <c r="J563" s="60" t="b">
        <v>1</v>
      </c>
      <c r="K563" s="159">
        <f t="shared" si="1"/>
        <v>46045</v>
      </c>
      <c r="L563" s="54" t="s">
        <v>36</v>
      </c>
    </row>
    <row r="564">
      <c r="A564" s="29">
        <v>562.0</v>
      </c>
      <c r="B564" s="42" t="s">
        <v>1419</v>
      </c>
      <c r="C564" s="51"/>
      <c r="D564" s="156"/>
      <c r="E564" s="90">
        <v>10360.0</v>
      </c>
      <c r="F564" s="53">
        <v>225.0</v>
      </c>
      <c r="G564" s="80"/>
      <c r="H564" s="160">
        <v>45866.0</v>
      </c>
      <c r="I564" s="58" t="b">
        <v>1</v>
      </c>
      <c r="J564" s="113" t="b">
        <v>0</v>
      </c>
      <c r="K564" s="159">
        <f t="shared" si="1"/>
        <v>46050</v>
      </c>
      <c r="L564" s="54" t="s">
        <v>36</v>
      </c>
    </row>
    <row r="565">
      <c r="A565" s="29">
        <v>563.0</v>
      </c>
      <c r="B565" s="42" t="s">
        <v>1420</v>
      </c>
      <c r="C565" s="51"/>
      <c r="D565" s="156"/>
      <c r="E565" s="90">
        <v>10361.0</v>
      </c>
      <c r="F565" s="53">
        <v>225.0</v>
      </c>
      <c r="G565" s="80"/>
      <c r="H565" s="160">
        <v>45868.0</v>
      </c>
      <c r="I565" s="58" t="b">
        <v>1</v>
      </c>
      <c r="J565" s="60" t="b">
        <v>1</v>
      </c>
      <c r="K565" s="159">
        <f t="shared" si="1"/>
        <v>46052</v>
      </c>
      <c r="L565" s="54" t="s">
        <v>36</v>
      </c>
    </row>
    <row r="566">
      <c r="A566" s="29">
        <v>564.0</v>
      </c>
      <c r="B566" s="42" t="s">
        <v>1421</v>
      </c>
      <c r="C566" s="51"/>
      <c r="D566" s="156"/>
      <c r="E566" s="90">
        <v>10362.0</v>
      </c>
      <c r="F566" s="53">
        <v>225.0</v>
      </c>
      <c r="G566" s="80"/>
      <c r="H566" s="160">
        <v>45872.0</v>
      </c>
      <c r="I566" s="58" t="b">
        <v>1</v>
      </c>
      <c r="J566" s="60" t="b">
        <v>1</v>
      </c>
      <c r="K566" s="159">
        <f t="shared" si="1"/>
        <v>46056</v>
      </c>
      <c r="L566" s="54" t="s">
        <v>36</v>
      </c>
    </row>
    <row r="567">
      <c r="A567" s="29">
        <v>565.0</v>
      </c>
      <c r="B567" s="42" t="s">
        <v>1422</v>
      </c>
      <c r="C567" s="51"/>
      <c r="D567" s="156"/>
      <c r="E567" s="90">
        <v>10363.0</v>
      </c>
      <c r="F567" s="53">
        <v>225.0</v>
      </c>
      <c r="G567" s="80"/>
      <c r="H567" s="160">
        <v>45873.0</v>
      </c>
      <c r="I567" s="58" t="b">
        <v>1</v>
      </c>
      <c r="J567" s="60" t="b">
        <v>1</v>
      </c>
      <c r="K567" s="159">
        <f t="shared" si="1"/>
        <v>46057</v>
      </c>
      <c r="L567" s="54" t="s">
        <v>36</v>
      </c>
    </row>
    <row r="568">
      <c r="A568" s="29">
        <v>566.0</v>
      </c>
      <c r="B568" s="42" t="s">
        <v>1423</v>
      </c>
      <c r="C568" s="51"/>
      <c r="D568" s="156"/>
      <c r="E568" s="90">
        <v>10364.0</v>
      </c>
      <c r="F568" s="53">
        <v>225.0</v>
      </c>
      <c r="G568" s="80"/>
      <c r="H568" s="160">
        <v>45873.0</v>
      </c>
      <c r="I568" s="58" t="b">
        <v>1</v>
      </c>
      <c r="J568" s="60" t="b">
        <v>1</v>
      </c>
      <c r="K568" s="159">
        <f t="shared" si="1"/>
        <v>46057</v>
      </c>
      <c r="L568" s="54" t="s">
        <v>36</v>
      </c>
    </row>
    <row r="569">
      <c r="A569" s="29">
        <v>567.0</v>
      </c>
      <c r="B569" s="42" t="s">
        <v>1424</v>
      </c>
      <c r="C569" s="51"/>
      <c r="D569" s="156"/>
      <c r="E569" s="90">
        <v>10365.0</v>
      </c>
      <c r="F569" s="53">
        <v>225.0</v>
      </c>
      <c r="G569" s="80"/>
      <c r="H569" s="160">
        <v>45873.0</v>
      </c>
      <c r="I569" s="58" t="b">
        <v>1</v>
      </c>
      <c r="J569" s="113" t="b">
        <v>0</v>
      </c>
      <c r="K569" s="159">
        <f t="shared" si="1"/>
        <v>46057</v>
      </c>
      <c r="L569" s="54" t="s">
        <v>36</v>
      </c>
    </row>
    <row r="570">
      <c r="A570" s="29">
        <v>568.0</v>
      </c>
      <c r="B570" s="42" t="s">
        <v>1425</v>
      </c>
      <c r="C570" s="51"/>
      <c r="D570" s="156"/>
      <c r="E570" s="90">
        <v>10366.0</v>
      </c>
      <c r="F570" s="53">
        <v>225.0</v>
      </c>
      <c r="G570" s="80"/>
      <c r="H570" s="160">
        <v>45874.0</v>
      </c>
      <c r="I570" s="58" t="b">
        <v>1</v>
      </c>
      <c r="J570" s="60" t="b">
        <v>1</v>
      </c>
      <c r="K570" s="159">
        <f t="shared" si="1"/>
        <v>46058</v>
      </c>
      <c r="L570" s="54" t="s">
        <v>36</v>
      </c>
    </row>
    <row r="571">
      <c r="A571" s="29">
        <v>569.0</v>
      </c>
      <c r="B571" s="42" t="s">
        <v>1426</v>
      </c>
      <c r="C571" s="51"/>
      <c r="D571" s="156"/>
      <c r="E571" s="90">
        <v>10367.0</v>
      </c>
      <c r="F571" s="53">
        <v>225.0</v>
      </c>
      <c r="G571" s="80"/>
      <c r="H571" s="160">
        <v>45875.0</v>
      </c>
      <c r="I571" s="58" t="b">
        <v>1</v>
      </c>
      <c r="J571" s="113" t="b">
        <v>0</v>
      </c>
      <c r="K571" s="159">
        <f t="shared" si="1"/>
        <v>46059</v>
      </c>
      <c r="L571" s="54" t="s">
        <v>36</v>
      </c>
    </row>
    <row r="572">
      <c r="A572" s="29">
        <v>570.0</v>
      </c>
      <c r="B572" s="42" t="s">
        <v>1427</v>
      </c>
      <c r="C572" s="51"/>
      <c r="D572" s="156"/>
      <c r="E572" s="90">
        <v>10368.0</v>
      </c>
      <c r="F572" s="53">
        <v>225.0</v>
      </c>
      <c r="G572" s="80"/>
      <c r="H572" s="160">
        <v>45877.0</v>
      </c>
      <c r="I572" s="58" t="b">
        <v>1</v>
      </c>
      <c r="J572" s="60" t="b">
        <v>1</v>
      </c>
      <c r="K572" s="159">
        <f t="shared" si="1"/>
        <v>46061</v>
      </c>
      <c r="L572" s="54" t="s">
        <v>36</v>
      </c>
    </row>
    <row r="573">
      <c r="A573" s="29">
        <v>571.0</v>
      </c>
      <c r="B573" s="42" t="s">
        <v>1428</v>
      </c>
      <c r="C573" s="51"/>
      <c r="D573" s="156"/>
      <c r="E573" s="90">
        <v>10369.0</v>
      </c>
      <c r="F573" s="53">
        <v>225.0</v>
      </c>
      <c r="G573" s="80"/>
      <c r="H573" s="160">
        <v>45882.0</v>
      </c>
      <c r="I573" s="58" t="b">
        <v>1</v>
      </c>
      <c r="J573" s="60" t="b">
        <v>1</v>
      </c>
      <c r="K573" s="159">
        <f t="shared" si="1"/>
        <v>46066</v>
      </c>
      <c r="L573" s="54" t="s">
        <v>36</v>
      </c>
    </row>
    <row r="574">
      <c r="A574" s="29">
        <v>572.0</v>
      </c>
      <c r="B574" s="42" t="s">
        <v>1429</v>
      </c>
      <c r="C574" s="51"/>
      <c r="D574" s="156"/>
      <c r="E574" s="90">
        <v>10370.0</v>
      </c>
      <c r="F574" s="53">
        <v>225.0</v>
      </c>
      <c r="G574" s="80"/>
      <c r="H574" s="160">
        <v>45883.0</v>
      </c>
      <c r="I574" s="58" t="b">
        <v>1</v>
      </c>
      <c r="J574" s="113" t="b">
        <v>0</v>
      </c>
      <c r="K574" s="159">
        <f t="shared" si="1"/>
        <v>46067</v>
      </c>
      <c r="L574" s="54" t="s">
        <v>36</v>
      </c>
    </row>
    <row r="575">
      <c r="A575" s="29">
        <v>573.0</v>
      </c>
      <c r="B575" s="42" t="s">
        <v>1430</v>
      </c>
      <c r="C575" s="51"/>
      <c r="D575" s="156"/>
      <c r="E575" s="90">
        <v>10371.0</v>
      </c>
      <c r="F575" s="53">
        <v>225.0</v>
      </c>
      <c r="G575" s="80"/>
      <c r="H575" s="160">
        <v>45885.0</v>
      </c>
      <c r="I575" s="58" t="b">
        <v>1</v>
      </c>
      <c r="J575" s="60" t="b">
        <v>1</v>
      </c>
      <c r="K575" s="159">
        <f t="shared" si="1"/>
        <v>46069</v>
      </c>
      <c r="L575" s="54" t="s">
        <v>36</v>
      </c>
    </row>
    <row r="576">
      <c r="A576" s="29">
        <v>574.0</v>
      </c>
      <c r="B576" s="42" t="s">
        <v>1431</v>
      </c>
      <c r="C576" s="51"/>
      <c r="D576" s="156"/>
      <c r="E576" s="90">
        <v>10372.0</v>
      </c>
      <c r="F576" s="53">
        <v>225.0</v>
      </c>
      <c r="G576" s="42" t="s">
        <v>1432</v>
      </c>
      <c r="H576" s="160">
        <v>45885.0</v>
      </c>
      <c r="I576" s="58" t="b">
        <v>1</v>
      </c>
      <c r="J576" s="60" t="b">
        <v>1</v>
      </c>
      <c r="K576" s="159">
        <f t="shared" si="1"/>
        <v>46069</v>
      </c>
      <c r="L576" s="54" t="s">
        <v>36</v>
      </c>
    </row>
    <row r="577">
      <c r="A577" s="29">
        <v>575.0</v>
      </c>
      <c r="B577" s="42" t="s">
        <v>1433</v>
      </c>
      <c r="C577" s="51"/>
      <c r="D577" s="156"/>
      <c r="E577" s="90">
        <v>10373.0</v>
      </c>
      <c r="F577" s="53">
        <v>225.0</v>
      </c>
      <c r="G577" s="80"/>
      <c r="H577" s="160">
        <v>45886.0</v>
      </c>
      <c r="I577" s="58" t="b">
        <v>1</v>
      </c>
      <c r="J577" s="60" t="b">
        <v>1</v>
      </c>
      <c r="K577" s="159">
        <f t="shared" si="1"/>
        <v>46070</v>
      </c>
      <c r="L577" s="54" t="s">
        <v>36</v>
      </c>
    </row>
    <row r="578">
      <c r="A578" s="29">
        <v>576.0</v>
      </c>
      <c r="B578" s="42" t="s">
        <v>1434</v>
      </c>
      <c r="C578" s="51"/>
      <c r="D578" s="156"/>
      <c r="E578" s="90">
        <v>10374.0</v>
      </c>
      <c r="F578" s="53">
        <v>225.0</v>
      </c>
      <c r="G578" s="80"/>
      <c r="H578" s="160">
        <v>45887.0</v>
      </c>
      <c r="I578" s="58" t="b">
        <v>1</v>
      </c>
      <c r="J578" s="60" t="b">
        <v>1</v>
      </c>
      <c r="K578" s="159">
        <f t="shared" si="1"/>
        <v>46071</v>
      </c>
      <c r="L578" s="54" t="s">
        <v>36</v>
      </c>
    </row>
    <row r="579">
      <c r="A579" s="29">
        <v>577.0</v>
      </c>
      <c r="B579" s="42" t="s">
        <v>1435</v>
      </c>
      <c r="C579" s="51"/>
      <c r="D579" s="156"/>
      <c r="E579" s="90">
        <v>10375.0</v>
      </c>
      <c r="F579" s="53">
        <v>225.0</v>
      </c>
      <c r="G579" s="80"/>
      <c r="H579" s="160">
        <v>45887.0</v>
      </c>
      <c r="I579" s="58" t="b">
        <v>1</v>
      </c>
      <c r="J579" s="113" t="b">
        <v>0</v>
      </c>
      <c r="K579" s="159">
        <f t="shared" si="1"/>
        <v>46071</v>
      </c>
      <c r="L579" s="54" t="s">
        <v>36</v>
      </c>
    </row>
    <row r="580">
      <c r="A580" s="29">
        <v>578.0</v>
      </c>
      <c r="B580" s="42" t="s">
        <v>1436</v>
      </c>
      <c r="C580" s="51"/>
      <c r="D580" s="156"/>
      <c r="E580" s="90">
        <v>10376.0</v>
      </c>
      <c r="F580" s="53">
        <v>225.0</v>
      </c>
      <c r="G580" s="80"/>
      <c r="H580" s="160">
        <v>45889.0</v>
      </c>
      <c r="I580" s="58" t="b">
        <v>1</v>
      </c>
      <c r="J580" s="60" t="b">
        <v>1</v>
      </c>
      <c r="K580" s="159">
        <f t="shared" si="1"/>
        <v>46073</v>
      </c>
      <c r="L580" s="54" t="s">
        <v>36</v>
      </c>
    </row>
    <row r="581">
      <c r="A581" s="29">
        <v>579.0</v>
      </c>
      <c r="B581" s="42" t="s">
        <v>1437</v>
      </c>
      <c r="C581" s="51"/>
      <c r="D581" s="156"/>
      <c r="E581" s="90">
        <v>10377.0</v>
      </c>
      <c r="F581" s="53">
        <v>225.0</v>
      </c>
      <c r="G581" s="80"/>
      <c r="H581" s="160">
        <v>45889.0</v>
      </c>
      <c r="I581" s="58" t="b">
        <v>1</v>
      </c>
      <c r="J581" s="113" t="b">
        <v>0</v>
      </c>
      <c r="K581" s="65">
        <f t="shared" si="1"/>
        <v>46073</v>
      </c>
      <c r="L581" s="54" t="s">
        <v>36</v>
      </c>
    </row>
    <row r="582">
      <c r="A582" s="29">
        <v>580.0</v>
      </c>
      <c r="B582" s="42" t="s">
        <v>1438</v>
      </c>
      <c r="C582" s="51"/>
      <c r="D582" s="156"/>
      <c r="E582" s="90">
        <v>10378.0</v>
      </c>
      <c r="F582" s="53">
        <v>225.0</v>
      </c>
      <c r="G582" s="80"/>
      <c r="H582" s="160">
        <v>45890.0</v>
      </c>
      <c r="I582" s="58" t="b">
        <v>1</v>
      </c>
      <c r="J582" s="60" t="b">
        <v>1</v>
      </c>
      <c r="K582" s="65">
        <f t="shared" si="1"/>
        <v>46074</v>
      </c>
      <c r="L582" s="54" t="s">
        <v>36</v>
      </c>
    </row>
    <row r="583">
      <c r="A583" s="29">
        <v>581.0</v>
      </c>
      <c r="B583" s="42" t="s">
        <v>1439</v>
      </c>
      <c r="C583" s="51"/>
      <c r="D583" s="156"/>
      <c r="E583" s="90">
        <v>10379.0</v>
      </c>
      <c r="F583" s="53">
        <v>225.0</v>
      </c>
      <c r="G583" s="80"/>
      <c r="H583" s="160">
        <v>45894.0</v>
      </c>
      <c r="I583" s="58" t="b">
        <v>1</v>
      </c>
      <c r="J583" s="60" t="b">
        <v>1</v>
      </c>
      <c r="K583" s="65">
        <f t="shared" si="1"/>
        <v>46078</v>
      </c>
      <c r="L583" s="54" t="s">
        <v>36</v>
      </c>
    </row>
    <row r="584">
      <c r="A584" s="29">
        <v>582.0</v>
      </c>
      <c r="B584" s="42" t="s">
        <v>1440</v>
      </c>
      <c r="C584" s="51"/>
      <c r="D584" s="156"/>
      <c r="E584" s="90">
        <v>10380.0</v>
      </c>
      <c r="F584" s="53">
        <v>225.0</v>
      </c>
      <c r="G584" s="80"/>
      <c r="H584" s="160">
        <v>45896.0</v>
      </c>
      <c r="I584" s="58" t="b">
        <v>1</v>
      </c>
      <c r="J584" s="113" t="b">
        <v>0</v>
      </c>
      <c r="K584" s="65">
        <f t="shared" si="1"/>
        <v>46080</v>
      </c>
      <c r="L584" s="54" t="s">
        <v>36</v>
      </c>
    </row>
    <row r="585">
      <c r="A585" s="29">
        <v>583.0</v>
      </c>
      <c r="B585" s="42" t="s">
        <v>1441</v>
      </c>
      <c r="C585" s="51"/>
      <c r="D585" s="156"/>
      <c r="E585" s="90">
        <v>10381.0</v>
      </c>
      <c r="F585" s="53">
        <v>225.0</v>
      </c>
      <c r="G585" s="80"/>
      <c r="H585" s="160">
        <v>45896.0</v>
      </c>
      <c r="I585" s="58" t="b">
        <v>1</v>
      </c>
      <c r="J585" s="60" t="b">
        <v>1</v>
      </c>
      <c r="K585" s="65">
        <f t="shared" si="1"/>
        <v>46080</v>
      </c>
      <c r="L585" s="54" t="s">
        <v>36</v>
      </c>
    </row>
    <row r="586">
      <c r="A586" s="29">
        <v>584.0</v>
      </c>
      <c r="B586" s="42" t="s">
        <v>1442</v>
      </c>
      <c r="C586" s="51"/>
      <c r="D586" s="156"/>
      <c r="E586" s="90">
        <v>10382.0</v>
      </c>
      <c r="F586" s="53">
        <v>225.0</v>
      </c>
      <c r="G586" s="80"/>
      <c r="H586" s="160">
        <v>45901.0</v>
      </c>
      <c r="I586" s="58" t="b">
        <v>1</v>
      </c>
      <c r="J586" s="60" t="b">
        <v>1</v>
      </c>
      <c r="K586" s="65">
        <f t="shared" si="1"/>
        <v>46082</v>
      </c>
      <c r="L586" s="54" t="s">
        <v>36</v>
      </c>
    </row>
    <row r="587">
      <c r="A587" s="29">
        <v>585.0</v>
      </c>
      <c r="B587" s="42" t="s">
        <v>1443</v>
      </c>
      <c r="C587" s="51"/>
      <c r="D587" s="156"/>
      <c r="E587" s="90">
        <v>10383.0</v>
      </c>
      <c r="F587" s="53">
        <v>225.0</v>
      </c>
      <c r="G587" s="80"/>
      <c r="H587" s="160">
        <v>45902.0</v>
      </c>
      <c r="I587" s="58" t="b">
        <v>1</v>
      </c>
      <c r="J587" s="60" t="b">
        <v>1</v>
      </c>
      <c r="K587" s="65">
        <f t="shared" si="1"/>
        <v>46083</v>
      </c>
      <c r="L587" s="54" t="s">
        <v>36</v>
      </c>
    </row>
    <row r="588">
      <c r="A588" s="29">
        <v>586.0</v>
      </c>
      <c r="B588" s="42" t="s">
        <v>1444</v>
      </c>
      <c r="C588" s="51"/>
      <c r="D588" s="156"/>
      <c r="E588" s="90">
        <v>10384.0</v>
      </c>
      <c r="F588" s="53">
        <v>225.0</v>
      </c>
      <c r="G588" s="80"/>
      <c r="H588" s="160">
        <v>45902.0</v>
      </c>
      <c r="I588" s="58" t="b">
        <v>1</v>
      </c>
      <c r="J588" s="60" t="b">
        <v>1</v>
      </c>
      <c r="K588" s="65">
        <f t="shared" si="1"/>
        <v>46083</v>
      </c>
      <c r="L588" s="54" t="s">
        <v>36</v>
      </c>
    </row>
    <row r="589">
      <c r="A589" s="29">
        <v>587.0</v>
      </c>
      <c r="B589" s="42" t="s">
        <v>1445</v>
      </c>
      <c r="C589" s="51"/>
      <c r="D589" s="156"/>
      <c r="E589" s="90">
        <v>10385.0</v>
      </c>
      <c r="F589" s="53">
        <v>225.0</v>
      </c>
      <c r="G589" s="80"/>
      <c r="H589" s="160">
        <v>45903.0</v>
      </c>
      <c r="I589" s="58" t="b">
        <v>1</v>
      </c>
      <c r="J589" s="60" t="b">
        <v>1</v>
      </c>
      <c r="K589" s="65">
        <f t="shared" si="1"/>
        <v>46084</v>
      </c>
      <c r="L589" s="54" t="s">
        <v>36</v>
      </c>
    </row>
    <row r="590">
      <c r="A590" s="29">
        <v>588.0</v>
      </c>
      <c r="B590" s="42" t="s">
        <v>1446</v>
      </c>
      <c r="C590" s="51"/>
      <c r="D590" s="156"/>
      <c r="E590" s="90">
        <v>10386.0</v>
      </c>
      <c r="F590" s="53">
        <v>225.0</v>
      </c>
      <c r="G590" s="80"/>
      <c r="H590" s="160">
        <v>45906.0</v>
      </c>
      <c r="I590" s="58" t="b">
        <v>1</v>
      </c>
      <c r="J590" s="113" t="b">
        <v>0</v>
      </c>
      <c r="K590" s="65">
        <f t="shared" si="1"/>
        <v>46087</v>
      </c>
      <c r="L590" s="54" t="s">
        <v>36</v>
      </c>
    </row>
    <row r="591">
      <c r="A591" s="29">
        <v>589.0</v>
      </c>
      <c r="B591" s="42" t="s">
        <v>1447</v>
      </c>
      <c r="C591" s="51"/>
      <c r="D591" s="156"/>
      <c r="E591" s="90">
        <v>10387.0</v>
      </c>
      <c r="F591" s="53">
        <v>225.0</v>
      </c>
      <c r="G591" s="80"/>
      <c r="H591" s="160">
        <v>45908.0</v>
      </c>
      <c r="I591" s="58" t="b">
        <v>1</v>
      </c>
      <c r="J591" s="60" t="b">
        <v>1</v>
      </c>
      <c r="K591" s="65">
        <f t="shared" si="1"/>
        <v>46089</v>
      </c>
      <c r="L591" s="54" t="s">
        <v>36</v>
      </c>
    </row>
    <row r="592">
      <c r="A592" s="29">
        <v>590.0</v>
      </c>
      <c r="B592" s="42" t="s">
        <v>1448</v>
      </c>
      <c r="C592" s="51"/>
      <c r="D592" s="156"/>
      <c r="E592" s="90">
        <v>10388.0</v>
      </c>
      <c r="F592" s="53">
        <v>225.0</v>
      </c>
      <c r="G592" s="42" t="s">
        <v>1449</v>
      </c>
      <c r="H592" s="160">
        <v>45910.0</v>
      </c>
      <c r="I592" s="58" t="b">
        <v>1</v>
      </c>
      <c r="J592" s="60" t="b">
        <v>1</v>
      </c>
      <c r="K592" s="65">
        <f t="shared" si="1"/>
        <v>46091</v>
      </c>
      <c r="L592" s="54" t="s">
        <v>36</v>
      </c>
    </row>
    <row r="593">
      <c r="A593" s="29">
        <v>591.0</v>
      </c>
      <c r="B593" s="42" t="s">
        <v>1450</v>
      </c>
      <c r="C593" s="51"/>
      <c r="D593" s="156"/>
      <c r="E593" s="90">
        <v>10389.0</v>
      </c>
      <c r="F593" s="53">
        <v>225.0</v>
      </c>
      <c r="G593" s="80"/>
      <c r="H593" s="160">
        <v>45911.0</v>
      </c>
      <c r="I593" s="58" t="b">
        <v>1</v>
      </c>
      <c r="J593" s="60" t="b">
        <v>1</v>
      </c>
      <c r="K593" s="65">
        <f t="shared" si="1"/>
        <v>46092</v>
      </c>
      <c r="L593" s="54" t="s">
        <v>36</v>
      </c>
    </row>
    <row r="594">
      <c r="A594" s="29">
        <v>592.0</v>
      </c>
      <c r="B594" s="42" t="s">
        <v>1451</v>
      </c>
      <c r="C594" s="51"/>
      <c r="D594" s="156"/>
      <c r="E594" s="90">
        <v>10390.0</v>
      </c>
      <c r="F594" s="53">
        <v>225.0</v>
      </c>
      <c r="G594" s="80"/>
      <c r="H594" s="160">
        <v>45912.0</v>
      </c>
      <c r="I594" s="58" t="b">
        <v>1</v>
      </c>
      <c r="J594" s="60" t="b">
        <v>1</v>
      </c>
      <c r="K594" s="65">
        <f t="shared" si="1"/>
        <v>46093</v>
      </c>
      <c r="L594" s="54" t="s">
        <v>36</v>
      </c>
    </row>
    <row r="595">
      <c r="A595" s="29">
        <v>593.0</v>
      </c>
      <c r="B595" s="42" t="s">
        <v>1452</v>
      </c>
      <c r="C595" s="51"/>
      <c r="D595" s="156"/>
      <c r="E595" s="90">
        <v>10391.0</v>
      </c>
      <c r="F595" s="53">
        <v>225.0</v>
      </c>
      <c r="G595" s="80"/>
      <c r="H595" s="160">
        <v>45915.0</v>
      </c>
      <c r="I595" s="58" t="b">
        <v>1</v>
      </c>
      <c r="J595" s="60" t="b">
        <v>1</v>
      </c>
      <c r="K595" s="65">
        <f t="shared" si="1"/>
        <v>46096</v>
      </c>
      <c r="L595" s="54" t="s">
        <v>36</v>
      </c>
    </row>
    <row r="596">
      <c r="A596" s="29">
        <v>594.0</v>
      </c>
      <c r="B596" s="42" t="s">
        <v>1453</v>
      </c>
      <c r="C596" s="51"/>
      <c r="D596" s="156"/>
      <c r="E596" s="90">
        <v>10392.0</v>
      </c>
      <c r="F596" s="53">
        <v>225.0</v>
      </c>
      <c r="G596" s="80"/>
      <c r="H596" s="160">
        <v>45916.0</v>
      </c>
      <c r="I596" s="58" t="b">
        <v>1</v>
      </c>
      <c r="J596" s="60" t="b">
        <v>1</v>
      </c>
      <c r="K596" s="65">
        <f t="shared" si="1"/>
        <v>46097</v>
      </c>
      <c r="L596" s="54" t="s">
        <v>36</v>
      </c>
    </row>
    <row r="597">
      <c r="A597" s="29">
        <v>595.0</v>
      </c>
      <c r="B597" s="42" t="s">
        <v>1454</v>
      </c>
      <c r="C597" s="51"/>
      <c r="D597" s="156"/>
      <c r="E597" s="90">
        <v>10393.0</v>
      </c>
      <c r="F597" s="53">
        <v>225.0</v>
      </c>
      <c r="G597" s="42" t="s">
        <v>1449</v>
      </c>
      <c r="H597" s="160">
        <v>45916.0</v>
      </c>
      <c r="I597" s="58" t="b">
        <v>1</v>
      </c>
      <c r="J597" s="60" t="b">
        <v>1</v>
      </c>
      <c r="K597" s="65">
        <f t="shared" si="1"/>
        <v>46097</v>
      </c>
      <c r="L597" s="54" t="s">
        <v>36</v>
      </c>
    </row>
    <row r="598">
      <c r="A598" s="29">
        <v>596.0</v>
      </c>
      <c r="B598" s="42" t="s">
        <v>1455</v>
      </c>
      <c r="C598" s="51"/>
      <c r="D598" s="156"/>
      <c r="E598" s="90">
        <v>10394.0</v>
      </c>
      <c r="F598" s="53">
        <v>225.0</v>
      </c>
      <c r="G598" s="80"/>
      <c r="H598" s="160">
        <v>45919.0</v>
      </c>
      <c r="I598" s="58" t="b">
        <v>1</v>
      </c>
      <c r="J598" s="60" t="b">
        <v>1</v>
      </c>
      <c r="K598" s="65">
        <f t="shared" si="1"/>
        <v>46100</v>
      </c>
      <c r="L598" s="54" t="s">
        <v>36</v>
      </c>
    </row>
    <row r="599">
      <c r="A599" s="29">
        <v>597.0</v>
      </c>
      <c r="B599" s="42" t="s">
        <v>1456</v>
      </c>
      <c r="C599" s="51"/>
      <c r="D599" s="156"/>
      <c r="E599" s="90">
        <v>10395.0</v>
      </c>
      <c r="F599" s="53">
        <v>225.0</v>
      </c>
      <c r="G599" s="80"/>
      <c r="H599" s="160">
        <v>45922.0</v>
      </c>
      <c r="I599" s="58" t="b">
        <v>1</v>
      </c>
      <c r="J599" s="60" t="b">
        <v>1</v>
      </c>
      <c r="K599" s="65">
        <f t="shared" si="1"/>
        <v>46103</v>
      </c>
      <c r="L599" s="54" t="s">
        <v>36</v>
      </c>
    </row>
    <row r="600">
      <c r="A600" s="29">
        <v>598.0</v>
      </c>
      <c r="B600" s="42" t="s">
        <v>1457</v>
      </c>
      <c r="C600" s="51"/>
      <c r="D600" s="156"/>
      <c r="E600" s="90">
        <v>10396.0</v>
      </c>
      <c r="F600" s="53">
        <v>225.0</v>
      </c>
      <c r="G600" s="80"/>
      <c r="H600" s="160">
        <v>45922.0</v>
      </c>
      <c r="I600" s="58" t="b">
        <v>1</v>
      </c>
      <c r="J600" s="60" t="b">
        <v>1</v>
      </c>
      <c r="K600" s="65">
        <f t="shared" si="1"/>
        <v>46103</v>
      </c>
      <c r="L600" s="54" t="s">
        <v>36</v>
      </c>
    </row>
    <row r="601">
      <c r="A601" s="29">
        <v>599.0</v>
      </c>
      <c r="B601" s="42" t="s">
        <v>1458</v>
      </c>
      <c r="C601" s="51"/>
      <c r="D601" s="156"/>
      <c r="E601" s="90">
        <v>10397.0</v>
      </c>
      <c r="F601" s="53">
        <v>225.0</v>
      </c>
      <c r="G601" s="42" t="s">
        <v>1459</v>
      </c>
      <c r="H601" s="160">
        <v>45923.0</v>
      </c>
      <c r="I601" s="58" t="b">
        <v>1</v>
      </c>
      <c r="J601" s="113" t="b">
        <v>0</v>
      </c>
      <c r="K601" s="65">
        <f t="shared" si="1"/>
        <v>46104</v>
      </c>
      <c r="L601" s="54" t="s">
        <v>36</v>
      </c>
    </row>
    <row r="602">
      <c r="A602" s="29">
        <v>600.0</v>
      </c>
      <c r="B602" s="42" t="s">
        <v>1460</v>
      </c>
      <c r="C602" s="51"/>
      <c r="D602" s="156"/>
      <c r="E602" s="90">
        <v>10398.0</v>
      </c>
      <c r="F602" s="53">
        <v>225.0</v>
      </c>
      <c r="G602" s="80"/>
      <c r="H602" s="160">
        <v>45928.0</v>
      </c>
      <c r="I602" s="58" t="b">
        <v>1</v>
      </c>
      <c r="J602" s="60" t="b">
        <v>0</v>
      </c>
      <c r="K602" s="65">
        <f t="shared" si="1"/>
        <v>46109</v>
      </c>
      <c r="L602" s="54" t="s">
        <v>36</v>
      </c>
    </row>
    <row r="603">
      <c r="A603" s="29">
        <v>601.0</v>
      </c>
      <c r="B603" s="42" t="s">
        <v>1461</v>
      </c>
      <c r="C603" s="51"/>
      <c r="D603" s="156"/>
      <c r="E603" s="90">
        <v>10399.0</v>
      </c>
      <c r="F603" s="53">
        <v>225.0</v>
      </c>
      <c r="G603" s="80"/>
      <c r="H603" s="160">
        <v>45929.0</v>
      </c>
      <c r="I603" s="58" t="b">
        <v>1</v>
      </c>
      <c r="J603" s="60" t="b">
        <v>1</v>
      </c>
      <c r="K603" s="65">
        <f t="shared" si="1"/>
        <v>46110</v>
      </c>
      <c r="L603" s="54" t="s">
        <v>36</v>
      </c>
    </row>
    <row r="604">
      <c r="A604" s="29">
        <v>602.0</v>
      </c>
      <c r="B604" s="42" t="s">
        <v>1462</v>
      </c>
      <c r="C604" s="51"/>
      <c r="D604" s="156"/>
      <c r="E604" s="90">
        <v>10400.0</v>
      </c>
      <c r="F604" s="53">
        <v>225.0</v>
      </c>
      <c r="G604" s="80"/>
      <c r="H604" s="160">
        <v>45931.0</v>
      </c>
      <c r="I604" s="58" t="b">
        <v>1</v>
      </c>
      <c r="J604" s="113" t="b">
        <v>0</v>
      </c>
      <c r="K604" s="65">
        <f t="shared" si="1"/>
        <v>46113</v>
      </c>
      <c r="L604" s="54" t="s">
        <v>36</v>
      </c>
    </row>
    <row r="605">
      <c r="A605" s="29">
        <v>603.0</v>
      </c>
      <c r="B605" s="42" t="s">
        <v>1463</v>
      </c>
      <c r="C605" s="51"/>
      <c r="D605" s="156"/>
      <c r="E605" s="90">
        <v>10401.0</v>
      </c>
      <c r="F605" s="53">
        <v>225.0</v>
      </c>
      <c r="G605" s="80"/>
      <c r="H605" s="160">
        <v>45931.0</v>
      </c>
      <c r="I605" s="58" t="b">
        <v>1</v>
      </c>
      <c r="J605" s="60" t="b">
        <v>1</v>
      </c>
      <c r="K605" s="65">
        <f t="shared" si="1"/>
        <v>46113</v>
      </c>
      <c r="L605" s="54" t="s">
        <v>36</v>
      </c>
    </row>
    <row r="606">
      <c r="A606" s="29">
        <v>604.0</v>
      </c>
      <c r="B606" s="42" t="s">
        <v>1464</v>
      </c>
      <c r="C606" s="51"/>
      <c r="D606" s="156"/>
      <c r="E606" s="90">
        <v>10402.0</v>
      </c>
      <c r="F606" s="53">
        <v>225.0</v>
      </c>
      <c r="G606" s="80"/>
      <c r="H606" s="160">
        <v>45933.0</v>
      </c>
      <c r="I606" s="58" t="b">
        <v>1</v>
      </c>
      <c r="J606" s="60" t="b">
        <v>1</v>
      </c>
      <c r="K606" s="65">
        <f t="shared" si="1"/>
        <v>46115</v>
      </c>
      <c r="L606" s="54" t="s">
        <v>36</v>
      </c>
    </row>
    <row r="607">
      <c r="A607" s="29">
        <v>605.0</v>
      </c>
      <c r="B607" s="42" t="s">
        <v>1465</v>
      </c>
      <c r="C607" s="51"/>
      <c r="D607" s="156"/>
      <c r="E607" s="90">
        <v>10403.0</v>
      </c>
      <c r="F607" s="53">
        <v>225.0</v>
      </c>
      <c r="G607" s="80"/>
      <c r="H607" s="160">
        <v>45933.0</v>
      </c>
      <c r="I607" s="58" t="b">
        <v>1</v>
      </c>
      <c r="J607" s="60" t="b">
        <v>0</v>
      </c>
      <c r="K607" s="65">
        <f t="shared" si="1"/>
        <v>46115</v>
      </c>
      <c r="L607" s="54" t="s">
        <v>36</v>
      </c>
    </row>
    <row r="608">
      <c r="A608" s="29">
        <v>606.0</v>
      </c>
      <c r="B608" s="42" t="s">
        <v>1466</v>
      </c>
      <c r="C608" s="51"/>
      <c r="D608" s="156"/>
      <c r="E608" s="90">
        <v>10404.0</v>
      </c>
      <c r="F608" s="42">
        <v>225.0</v>
      </c>
      <c r="G608" s="80"/>
      <c r="H608" s="160">
        <v>45986.0</v>
      </c>
      <c r="I608" s="58" t="b">
        <v>1</v>
      </c>
      <c r="J608" s="60" t="b">
        <v>1</v>
      </c>
      <c r="K608" s="65">
        <f t="shared" si="1"/>
        <v>46167</v>
      </c>
      <c r="L608" s="54" t="s">
        <v>36</v>
      </c>
    </row>
    <row r="609">
      <c r="A609" s="29">
        <v>607.0</v>
      </c>
      <c r="B609" s="42" t="s">
        <v>1467</v>
      </c>
      <c r="C609" s="51"/>
      <c r="D609" s="156"/>
      <c r="E609" s="90">
        <v>10405.0</v>
      </c>
      <c r="F609" s="53">
        <v>225.0</v>
      </c>
      <c r="G609" s="80"/>
      <c r="H609" s="160">
        <v>46024.0</v>
      </c>
      <c r="I609" s="58" t="b">
        <v>1</v>
      </c>
      <c r="J609" s="60" t="b">
        <v>0</v>
      </c>
      <c r="K609" s="65">
        <f t="shared" si="1"/>
        <v>46205</v>
      </c>
      <c r="L609" s="54" t="s">
        <v>36</v>
      </c>
    </row>
    <row r="610">
      <c r="A610" s="29">
        <v>608.0</v>
      </c>
      <c r="B610" s="42" t="s">
        <v>1468</v>
      </c>
      <c r="C610" s="51"/>
      <c r="D610" s="156"/>
      <c r="E610" s="90">
        <v>10406.0</v>
      </c>
      <c r="F610" s="53">
        <v>225.0</v>
      </c>
      <c r="G610" s="80"/>
      <c r="H610" s="160"/>
      <c r="I610" s="58" t="b">
        <v>1</v>
      </c>
      <c r="J610" s="60" t="b">
        <v>1</v>
      </c>
      <c r="K610" s="65" t="str">
        <f t="shared" si="1"/>
        <v/>
      </c>
      <c r="L610" s="54" t="s">
        <v>36</v>
      </c>
    </row>
    <row r="611">
      <c r="A611" s="29">
        <v>609.0</v>
      </c>
      <c r="B611" s="42" t="s">
        <v>1469</v>
      </c>
      <c r="C611" s="51"/>
      <c r="D611" s="156"/>
      <c r="E611" s="90">
        <v>10407.0</v>
      </c>
      <c r="F611" s="53">
        <v>225.0</v>
      </c>
      <c r="G611" s="80" t="s">
        <v>1470</v>
      </c>
      <c r="H611" s="160">
        <v>46093.0</v>
      </c>
      <c r="I611" s="58" t="b">
        <v>1</v>
      </c>
      <c r="J611" s="60" t="b">
        <v>1</v>
      </c>
      <c r="K611" s="65">
        <f t="shared" si="1"/>
        <v>46277</v>
      </c>
      <c r="L611" s="54" t="s">
        <v>36</v>
      </c>
    </row>
    <row r="612">
      <c r="A612" s="29">
        <v>610.0</v>
      </c>
      <c r="B612" s="42" t="s">
        <v>1469</v>
      </c>
      <c r="C612" s="51"/>
      <c r="D612" s="156"/>
      <c r="E612" s="90">
        <v>10408.0</v>
      </c>
      <c r="F612" s="53">
        <v>225.0</v>
      </c>
      <c r="G612" s="80" t="s">
        <v>1470</v>
      </c>
      <c r="H612" s="160">
        <v>46093.0</v>
      </c>
      <c r="I612" s="58" t="b">
        <v>1</v>
      </c>
      <c r="J612" s="60" t="b">
        <v>1</v>
      </c>
      <c r="K612" s="65">
        <f t="shared" si="1"/>
        <v>46277</v>
      </c>
      <c r="L612" s="54" t="s">
        <v>36</v>
      </c>
    </row>
    <row r="613">
      <c r="A613" s="29">
        <v>611.0</v>
      </c>
      <c r="B613" s="42" t="s">
        <v>1471</v>
      </c>
      <c r="C613" s="51"/>
      <c r="D613" s="156"/>
      <c r="E613" s="90">
        <v>10409.0</v>
      </c>
      <c r="F613" s="53">
        <v>225.0</v>
      </c>
      <c r="G613" s="80"/>
      <c r="H613" s="160">
        <v>46113.0</v>
      </c>
      <c r="I613" s="58" t="b">
        <v>1</v>
      </c>
      <c r="J613" s="60" t="b">
        <v>0</v>
      </c>
      <c r="K613" s="65">
        <f t="shared" si="1"/>
        <v>46296</v>
      </c>
      <c r="L613" s="118" t="s">
        <v>817</v>
      </c>
    </row>
    <row r="614">
      <c r="A614" s="29">
        <v>612.0</v>
      </c>
      <c r="B614" s="42" t="s">
        <v>1472</v>
      </c>
      <c r="C614" s="51"/>
      <c r="D614" s="156"/>
      <c r="E614" s="90">
        <v>10410.0</v>
      </c>
      <c r="F614" s="53">
        <v>225.0</v>
      </c>
      <c r="G614" s="80"/>
      <c r="H614" s="160">
        <v>46119.0</v>
      </c>
      <c r="I614" s="58" t="b">
        <v>1</v>
      </c>
      <c r="J614" s="60" t="b">
        <v>0</v>
      </c>
      <c r="K614" s="65">
        <f t="shared" si="1"/>
        <v>46302</v>
      </c>
      <c r="L614" s="118" t="s">
        <v>817</v>
      </c>
    </row>
    <row r="615">
      <c r="A615" s="29">
        <v>613.0</v>
      </c>
      <c r="B615" s="42" t="s">
        <v>1473</v>
      </c>
      <c r="C615" s="51"/>
      <c r="D615" s="156"/>
      <c r="E615" s="90">
        <v>10411.0</v>
      </c>
      <c r="F615" s="53"/>
      <c r="G615" s="80"/>
      <c r="H615" s="160">
        <v>46134.0</v>
      </c>
      <c r="I615" s="58" t="b">
        <v>1</v>
      </c>
      <c r="J615" s="60" t="b">
        <v>1</v>
      </c>
      <c r="K615" s="65">
        <f t="shared" si="1"/>
        <v>46317</v>
      </c>
      <c r="L615" s="54" t="s">
        <v>36</v>
      </c>
    </row>
    <row r="616">
      <c r="A616" s="198"/>
      <c r="B616" s="199" t="s">
        <v>1474</v>
      </c>
      <c r="C616" s="198"/>
      <c r="D616" s="198"/>
      <c r="E616" s="198"/>
      <c r="F616" s="198"/>
      <c r="G616" s="198"/>
      <c r="H616" s="200"/>
      <c r="I616" s="201"/>
      <c r="J616" s="202"/>
      <c r="K616" s="177" t="str">
        <f t="shared" si="1"/>
        <v/>
      </c>
      <c r="L616" s="178"/>
    </row>
  </sheetData>
  <autoFilter ref="$A$1:$L$616"/>
  <mergeCells count="3">
    <mergeCell ref="B1:C1"/>
    <mergeCell ref="D1:E1"/>
    <mergeCell ref="H1:K1"/>
  </mergeCells>
  <conditionalFormatting sqref="H1:H616">
    <cfRule type="expression" dxfId="0" priority="1">
      <formula>J:J=TRUE</formula>
    </cfRule>
  </conditionalFormatting>
  <conditionalFormatting sqref="I2:I616">
    <cfRule type="expression" dxfId="0" priority="2">
      <formula>J:J=TRUE</formula>
    </cfRule>
  </conditionalFormatting>
  <conditionalFormatting sqref="I2:I616">
    <cfRule type="expression" dxfId="1" priority="3">
      <formula>I:I=TRUE</formula>
    </cfRule>
  </conditionalFormatting>
  <conditionalFormatting sqref="I2:I616">
    <cfRule type="expression" dxfId="2" priority="4">
      <formula>I:I=FALSE</formula>
    </cfRule>
  </conditionalFormatting>
  <conditionalFormatting sqref="C2:C615">
    <cfRule type="expression" dxfId="0" priority="5">
      <formula>J:J=TRUE</formula>
    </cfRule>
  </conditionalFormatting>
  <conditionalFormatting sqref="F1:F615">
    <cfRule type="expression" dxfId="0" priority="6">
      <formula>J:J=TRUE</formula>
    </cfRule>
  </conditionalFormatting>
  <conditionalFormatting sqref="G1:G615">
    <cfRule type="expression" dxfId="0" priority="7">
      <formula>J:J=TRUE</formula>
    </cfRule>
  </conditionalFormatting>
  <conditionalFormatting sqref="A1:A616">
    <cfRule type="expression" dxfId="0" priority="8">
      <formula>J:J=TRUE</formula>
    </cfRule>
  </conditionalFormatting>
  <conditionalFormatting sqref="B1:B615">
    <cfRule type="expression" dxfId="0" priority="9">
      <formula>J:J=TRUE</formula>
    </cfRule>
  </conditionalFormatting>
  <conditionalFormatting sqref="E2:E615">
    <cfRule type="expression" dxfId="0" priority="10">
      <formula>J:J=TRUE</formula>
    </cfRule>
  </conditionalFormatting>
  <conditionalFormatting sqref="K3:L616">
    <cfRule type="expression" dxfId="0" priority="11">
      <formula>J:J=TRUE</formula>
    </cfRule>
  </conditionalFormatting>
  <conditionalFormatting sqref="J3:J616">
    <cfRule type="expression" dxfId="0" priority="12">
      <formula>J:J=TRUE</formula>
    </cfRule>
  </conditionalFormatting>
  <conditionalFormatting sqref="J3:J616">
    <cfRule type="expression" dxfId="2" priority="13">
      <formula>J:J=FALSE</formula>
    </cfRule>
  </conditionalFormatting>
  <conditionalFormatting sqref="D1:D615">
    <cfRule type="expression" dxfId="0" priority="14">
      <formula>J:J=TRUE</formula>
    </cfRule>
  </conditionalFormatting>
  <conditionalFormatting sqref="K3:K616">
    <cfRule type="expression" dxfId="5" priority="15">
      <formula>AND(ISNUMBER(K3),TRUNC(K3)&lt;TODAY())</formula>
    </cfRule>
  </conditionalFormatting>
  <conditionalFormatting sqref="L1:L616">
    <cfRule type="containsText" dxfId="4" priority="16" operator="containsText" text="SI">
      <formula>NOT(ISERROR(SEARCH(("SI"),(L1))))</formula>
    </cfRule>
  </conditionalFormatting>
  <conditionalFormatting sqref="L1:L616">
    <cfRule type="containsText" dxfId="3" priority="17" operator="containsText" text="NO">
      <formula>NOT(ISERROR(SEARCH(("NO"),(L1))))</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3.25"/>
    <col customWidth="1" min="2" max="2" width="20.38"/>
    <col customWidth="1" min="3" max="3" width="8.75"/>
    <col customWidth="1" min="4" max="4" width="9.63"/>
    <col customWidth="1" min="5" max="5" width="15.13"/>
    <col customWidth="1" min="6" max="6" width="6.75"/>
    <col customWidth="1" min="7" max="7" width="5.13"/>
    <col customWidth="1" min="8" max="8" width="5.25"/>
    <col customWidth="1" min="9" max="9" width="14.38"/>
    <col customWidth="1" min="10" max="10" width="5.75"/>
  </cols>
  <sheetData>
    <row r="1">
      <c r="A1" s="3"/>
      <c r="B1" s="2" t="s">
        <v>0</v>
      </c>
      <c r="C1" s="6"/>
      <c r="D1" s="7"/>
      <c r="E1" s="7"/>
      <c r="F1" s="8" t="s">
        <v>2</v>
      </c>
      <c r="I1" s="10"/>
      <c r="J1" s="2"/>
    </row>
    <row r="2" ht="51.0" customHeight="1">
      <c r="A2" s="13" t="s">
        <v>4</v>
      </c>
      <c r="B2" s="2" t="s">
        <v>5</v>
      </c>
      <c r="C2" s="14" t="s">
        <v>8</v>
      </c>
      <c r="D2" s="18" t="s">
        <v>9</v>
      </c>
      <c r="E2" s="2" t="s">
        <v>10</v>
      </c>
      <c r="F2" s="21" t="s">
        <v>11</v>
      </c>
      <c r="G2" s="23" t="s">
        <v>14</v>
      </c>
      <c r="H2" s="21" t="s">
        <v>17</v>
      </c>
      <c r="I2" s="21" t="s">
        <v>18</v>
      </c>
      <c r="J2" s="26" t="s">
        <v>19</v>
      </c>
    </row>
    <row r="3">
      <c r="A3" s="28">
        <v>1.0</v>
      </c>
      <c r="B3" s="42" t="s">
        <v>24</v>
      </c>
      <c r="C3" s="47">
        <v>1019.0</v>
      </c>
      <c r="D3" s="53">
        <f t="shared" ref="D3:D90" si="1">IF(B3="","",225)</f>
        <v>225</v>
      </c>
      <c r="E3" s="42"/>
      <c r="F3" s="55">
        <v>45935.0</v>
      </c>
      <c r="G3" s="58" t="b">
        <v>1</v>
      </c>
      <c r="H3" s="60" t="b">
        <v>1</v>
      </c>
      <c r="I3" s="64">
        <f t="shared" ref="I3:I256" si="2">IF(F3="","",EDATE(F3,6))</f>
        <v>46117</v>
      </c>
      <c r="J3" s="54" t="s">
        <v>36</v>
      </c>
    </row>
    <row r="4">
      <c r="A4" s="28">
        <v>2.0</v>
      </c>
      <c r="B4" s="66" t="s">
        <v>47</v>
      </c>
      <c r="C4" s="47">
        <v>1020.0</v>
      </c>
      <c r="D4" s="53">
        <f t="shared" si="1"/>
        <v>225</v>
      </c>
      <c r="E4" s="42"/>
      <c r="F4" s="55">
        <v>45935.0</v>
      </c>
      <c r="G4" s="58" t="b">
        <v>1</v>
      </c>
      <c r="H4" s="60" t="b">
        <v>1</v>
      </c>
      <c r="I4" s="64">
        <f t="shared" si="2"/>
        <v>46117</v>
      </c>
      <c r="J4" s="54" t="s">
        <v>36</v>
      </c>
    </row>
    <row r="5">
      <c r="A5" s="28">
        <v>3.0</v>
      </c>
      <c r="B5" s="42" t="s">
        <v>52</v>
      </c>
      <c r="C5" s="47">
        <v>1021.0</v>
      </c>
      <c r="D5" s="53">
        <f t="shared" si="1"/>
        <v>225</v>
      </c>
      <c r="E5" s="42"/>
      <c r="F5" s="55">
        <v>45936.0</v>
      </c>
      <c r="G5" s="58" t="b">
        <v>1</v>
      </c>
      <c r="H5" s="60" t="b">
        <v>1</v>
      </c>
      <c r="I5" s="64">
        <f t="shared" si="2"/>
        <v>46118</v>
      </c>
      <c r="J5" s="54" t="s">
        <v>36</v>
      </c>
    </row>
    <row r="6">
      <c r="A6" s="28">
        <v>4.0</v>
      </c>
      <c r="B6" s="66" t="s">
        <v>56</v>
      </c>
      <c r="C6" s="47">
        <v>1022.0</v>
      </c>
      <c r="D6" s="53">
        <f t="shared" si="1"/>
        <v>225</v>
      </c>
      <c r="E6" s="42"/>
      <c r="F6" s="55">
        <v>45936.0</v>
      </c>
      <c r="G6" s="58" t="b">
        <v>1</v>
      </c>
      <c r="H6" s="60" t="b">
        <v>1</v>
      </c>
      <c r="I6" s="64">
        <f t="shared" si="2"/>
        <v>46118</v>
      </c>
      <c r="J6" s="54" t="s">
        <v>36</v>
      </c>
    </row>
    <row r="7">
      <c r="A7" s="28">
        <v>5.0</v>
      </c>
      <c r="B7" s="42" t="s">
        <v>61</v>
      </c>
      <c r="C7" s="47">
        <v>1023.0</v>
      </c>
      <c r="D7" s="53">
        <f t="shared" si="1"/>
        <v>225</v>
      </c>
      <c r="E7" s="42"/>
      <c r="F7" s="55">
        <v>45937.0</v>
      </c>
      <c r="G7" s="58" t="b">
        <v>1</v>
      </c>
      <c r="H7" s="60" t="b">
        <v>1</v>
      </c>
      <c r="I7" s="64">
        <f t="shared" si="2"/>
        <v>46119</v>
      </c>
      <c r="J7" s="54" t="s">
        <v>36</v>
      </c>
    </row>
    <row r="8">
      <c r="A8" s="28">
        <v>6.0</v>
      </c>
      <c r="B8" s="42" t="s">
        <v>64</v>
      </c>
      <c r="C8" s="47">
        <v>1024.0</v>
      </c>
      <c r="D8" s="53">
        <f t="shared" si="1"/>
        <v>225</v>
      </c>
      <c r="E8" s="42"/>
      <c r="F8" s="55">
        <v>45938.0</v>
      </c>
      <c r="G8" s="58" t="b">
        <v>1</v>
      </c>
      <c r="H8" s="60" t="b">
        <v>1</v>
      </c>
      <c r="I8" s="64">
        <f t="shared" si="2"/>
        <v>46120</v>
      </c>
      <c r="J8" s="54" t="s">
        <v>36</v>
      </c>
    </row>
    <row r="9">
      <c r="A9" s="28">
        <v>7.0</v>
      </c>
      <c r="B9" s="42" t="s">
        <v>67</v>
      </c>
      <c r="C9" s="47">
        <v>1025.0</v>
      </c>
      <c r="D9" s="53">
        <f t="shared" si="1"/>
        <v>225</v>
      </c>
      <c r="E9" s="42"/>
      <c r="F9" s="55">
        <v>45939.0</v>
      </c>
      <c r="G9" s="58" t="b">
        <v>1</v>
      </c>
      <c r="H9" s="60" t="b">
        <v>1</v>
      </c>
      <c r="I9" s="64">
        <f t="shared" si="2"/>
        <v>46121</v>
      </c>
      <c r="J9" s="54" t="s">
        <v>36</v>
      </c>
    </row>
    <row r="10">
      <c r="A10" s="28">
        <v>8.0</v>
      </c>
      <c r="B10" s="42" t="s">
        <v>70</v>
      </c>
      <c r="C10" s="47">
        <v>1026.0</v>
      </c>
      <c r="D10" s="53">
        <f t="shared" si="1"/>
        <v>225</v>
      </c>
      <c r="E10" s="42"/>
      <c r="F10" s="55">
        <v>45940.0</v>
      </c>
      <c r="G10" s="58" t="b">
        <v>1</v>
      </c>
      <c r="H10" s="60" t="b">
        <v>1</v>
      </c>
      <c r="I10" s="64">
        <f t="shared" si="2"/>
        <v>46122</v>
      </c>
      <c r="J10" s="54" t="s">
        <v>36</v>
      </c>
    </row>
    <row r="11">
      <c r="A11" s="28">
        <v>9.0</v>
      </c>
      <c r="B11" s="42" t="s">
        <v>73</v>
      </c>
      <c r="C11" s="47">
        <v>1027.0</v>
      </c>
      <c r="D11" s="53">
        <f t="shared" si="1"/>
        <v>225</v>
      </c>
      <c r="E11" s="42"/>
      <c r="F11" s="55">
        <v>45941.0</v>
      </c>
      <c r="G11" s="58" t="b">
        <v>1</v>
      </c>
      <c r="H11" s="60" t="b">
        <v>1</v>
      </c>
      <c r="I11" s="64">
        <f t="shared" si="2"/>
        <v>46123</v>
      </c>
      <c r="J11" s="54" t="s">
        <v>36</v>
      </c>
    </row>
    <row r="12">
      <c r="A12" s="28">
        <v>10.0</v>
      </c>
      <c r="B12" s="42" t="s">
        <v>78</v>
      </c>
      <c r="C12" s="47">
        <v>1028.0</v>
      </c>
      <c r="D12" s="53">
        <f t="shared" si="1"/>
        <v>225</v>
      </c>
      <c r="E12" s="42"/>
      <c r="F12" s="55">
        <v>45942.0</v>
      </c>
      <c r="G12" s="58" t="b">
        <v>1</v>
      </c>
      <c r="H12" s="60" t="b">
        <v>0</v>
      </c>
      <c r="I12" s="64">
        <f t="shared" si="2"/>
        <v>46124</v>
      </c>
      <c r="J12" s="54" t="s">
        <v>36</v>
      </c>
    </row>
    <row r="13">
      <c r="A13" s="28">
        <v>11.0</v>
      </c>
      <c r="B13" s="42" t="s">
        <v>82</v>
      </c>
      <c r="C13" s="47">
        <v>1029.0</v>
      </c>
      <c r="D13" s="53">
        <f t="shared" si="1"/>
        <v>225</v>
      </c>
      <c r="E13" s="42"/>
      <c r="F13" s="55">
        <v>45944.0</v>
      </c>
      <c r="G13" s="58" t="b">
        <v>1</v>
      </c>
      <c r="H13" s="60" t="b">
        <v>1</v>
      </c>
      <c r="I13" s="64">
        <f t="shared" si="2"/>
        <v>46126</v>
      </c>
      <c r="J13" s="54" t="s">
        <v>36</v>
      </c>
    </row>
    <row r="14">
      <c r="A14" s="28">
        <v>12.0</v>
      </c>
      <c r="B14" s="42" t="s">
        <v>85</v>
      </c>
      <c r="C14" s="47">
        <v>1030.0</v>
      </c>
      <c r="D14" s="53">
        <f t="shared" si="1"/>
        <v>225</v>
      </c>
      <c r="E14" s="42"/>
      <c r="F14" s="55">
        <v>45944.0</v>
      </c>
      <c r="G14" s="58" t="b">
        <v>1</v>
      </c>
      <c r="H14" s="60" t="b">
        <v>1</v>
      </c>
      <c r="I14" s="64">
        <f t="shared" si="2"/>
        <v>46126</v>
      </c>
      <c r="J14" s="54" t="s">
        <v>36</v>
      </c>
    </row>
    <row r="15">
      <c r="A15" s="28">
        <v>13.0</v>
      </c>
      <c r="B15" s="42" t="s">
        <v>92</v>
      </c>
      <c r="C15" s="47">
        <v>1031.0</v>
      </c>
      <c r="D15" s="53">
        <f t="shared" si="1"/>
        <v>225</v>
      </c>
      <c r="E15" s="42"/>
      <c r="F15" s="55">
        <v>45944.0</v>
      </c>
      <c r="G15" s="58" t="b">
        <v>1</v>
      </c>
      <c r="H15" s="60" t="b">
        <v>1</v>
      </c>
      <c r="I15" s="64">
        <f t="shared" si="2"/>
        <v>46126</v>
      </c>
      <c r="J15" s="54" t="s">
        <v>36</v>
      </c>
    </row>
    <row r="16">
      <c r="A16" s="28">
        <v>14.0</v>
      </c>
      <c r="B16" s="42" t="s">
        <v>98</v>
      </c>
      <c r="C16" s="47">
        <v>1032.0</v>
      </c>
      <c r="D16" s="53">
        <f t="shared" si="1"/>
        <v>225</v>
      </c>
      <c r="E16" s="42"/>
      <c r="F16" s="55">
        <v>45944.0</v>
      </c>
      <c r="G16" s="58" t="b">
        <v>1</v>
      </c>
      <c r="H16" s="60" t="b">
        <v>1</v>
      </c>
      <c r="I16" s="64">
        <f t="shared" si="2"/>
        <v>46126</v>
      </c>
      <c r="J16" s="54" t="s">
        <v>36</v>
      </c>
    </row>
    <row r="17">
      <c r="A17" s="28">
        <v>15.0</v>
      </c>
      <c r="B17" s="42" t="s">
        <v>104</v>
      </c>
      <c r="C17" s="47">
        <v>1033.0</v>
      </c>
      <c r="D17" s="53">
        <f t="shared" si="1"/>
        <v>225</v>
      </c>
      <c r="E17" s="42"/>
      <c r="F17" s="55">
        <v>45944.0</v>
      </c>
      <c r="G17" s="58" t="b">
        <v>1</v>
      </c>
      <c r="H17" s="60" t="b">
        <v>1</v>
      </c>
      <c r="I17" s="64">
        <f t="shared" si="2"/>
        <v>46126</v>
      </c>
      <c r="J17" s="54" t="s">
        <v>36</v>
      </c>
    </row>
    <row r="18">
      <c r="A18" s="28">
        <v>16.0</v>
      </c>
      <c r="B18" s="42" t="s">
        <v>109</v>
      </c>
      <c r="C18" s="47">
        <v>1034.0</v>
      </c>
      <c r="D18" s="53">
        <f t="shared" si="1"/>
        <v>225</v>
      </c>
      <c r="E18" s="42"/>
      <c r="F18" s="55">
        <v>45944.0</v>
      </c>
      <c r="G18" s="58" t="b">
        <v>1</v>
      </c>
      <c r="H18" s="60" t="b">
        <v>0</v>
      </c>
      <c r="I18" s="64">
        <f t="shared" si="2"/>
        <v>46126</v>
      </c>
      <c r="J18" s="54" t="s">
        <v>36</v>
      </c>
    </row>
    <row r="19">
      <c r="A19" s="28">
        <v>17.0</v>
      </c>
      <c r="B19" s="42" t="s">
        <v>112</v>
      </c>
      <c r="C19" s="47">
        <v>1035.0</v>
      </c>
      <c r="D19" s="53">
        <f t="shared" si="1"/>
        <v>225</v>
      </c>
      <c r="E19" s="42"/>
      <c r="F19" s="55">
        <v>45946.0</v>
      </c>
      <c r="G19" s="58" t="b">
        <v>1</v>
      </c>
      <c r="H19" s="60" t="b">
        <v>1</v>
      </c>
      <c r="I19" s="64">
        <f t="shared" si="2"/>
        <v>46128</v>
      </c>
      <c r="J19" s="54" t="s">
        <v>36</v>
      </c>
    </row>
    <row r="20">
      <c r="A20" s="28">
        <v>18.0</v>
      </c>
      <c r="B20" s="42" t="s">
        <v>117</v>
      </c>
      <c r="C20" s="47">
        <v>1036.0</v>
      </c>
      <c r="D20" s="53">
        <f t="shared" si="1"/>
        <v>225</v>
      </c>
      <c r="E20" s="42"/>
      <c r="F20" s="55">
        <v>45947.0</v>
      </c>
      <c r="G20" s="58" t="b">
        <v>1</v>
      </c>
      <c r="H20" s="60" t="b">
        <v>0</v>
      </c>
      <c r="I20" s="64">
        <f t="shared" si="2"/>
        <v>46129</v>
      </c>
      <c r="J20" s="54" t="s">
        <v>36</v>
      </c>
    </row>
    <row r="21">
      <c r="A21" s="28">
        <v>19.0</v>
      </c>
      <c r="B21" s="42" t="s">
        <v>119</v>
      </c>
      <c r="C21" s="47">
        <v>1037.0</v>
      </c>
      <c r="D21" s="53">
        <f t="shared" si="1"/>
        <v>225</v>
      </c>
      <c r="E21" s="42"/>
      <c r="F21" s="55">
        <v>45948.0</v>
      </c>
      <c r="G21" s="58" t="b">
        <v>1</v>
      </c>
      <c r="H21" s="60" t="b">
        <v>1</v>
      </c>
      <c r="I21" s="64">
        <f t="shared" si="2"/>
        <v>46130</v>
      </c>
      <c r="J21" s="54" t="s">
        <v>36</v>
      </c>
    </row>
    <row r="22">
      <c r="A22" s="28">
        <v>20.0</v>
      </c>
      <c r="B22" s="42" t="s">
        <v>124</v>
      </c>
      <c r="C22" s="47">
        <v>1038.0</v>
      </c>
      <c r="D22" s="53">
        <f t="shared" si="1"/>
        <v>225</v>
      </c>
      <c r="E22" s="42"/>
      <c r="F22" s="55">
        <v>45950.0</v>
      </c>
      <c r="G22" s="58" t="b">
        <v>1</v>
      </c>
      <c r="H22" s="60" t="b">
        <v>1</v>
      </c>
      <c r="I22" s="64">
        <f t="shared" si="2"/>
        <v>46132</v>
      </c>
      <c r="J22" s="54" t="s">
        <v>36</v>
      </c>
    </row>
    <row r="23">
      <c r="A23" s="28">
        <v>21.0</v>
      </c>
      <c r="B23" s="42" t="s">
        <v>125</v>
      </c>
      <c r="C23" s="47">
        <v>1039.0</v>
      </c>
      <c r="D23" s="53">
        <f t="shared" si="1"/>
        <v>225</v>
      </c>
      <c r="E23" s="42"/>
      <c r="F23" s="55">
        <v>45952.0</v>
      </c>
      <c r="G23" s="58" t="b">
        <v>1</v>
      </c>
      <c r="H23" s="60" t="b">
        <v>0</v>
      </c>
      <c r="I23" s="64">
        <f t="shared" si="2"/>
        <v>46134</v>
      </c>
      <c r="J23" s="54" t="s">
        <v>36</v>
      </c>
    </row>
    <row r="24">
      <c r="A24" s="28">
        <v>22.0</v>
      </c>
      <c r="B24" s="42" t="s">
        <v>128</v>
      </c>
      <c r="C24" s="47">
        <v>1040.0</v>
      </c>
      <c r="D24" s="53">
        <f t="shared" si="1"/>
        <v>225</v>
      </c>
      <c r="E24" s="42"/>
      <c r="F24" s="55">
        <v>45953.0</v>
      </c>
      <c r="G24" s="58" t="b">
        <v>1</v>
      </c>
      <c r="H24" s="60" t="b">
        <v>1</v>
      </c>
      <c r="I24" s="64">
        <f t="shared" si="2"/>
        <v>46135</v>
      </c>
      <c r="J24" s="54" t="s">
        <v>36</v>
      </c>
    </row>
    <row r="25">
      <c r="A25" s="28">
        <v>23.0</v>
      </c>
      <c r="B25" s="42" t="s">
        <v>130</v>
      </c>
      <c r="C25" s="47">
        <v>1041.0</v>
      </c>
      <c r="D25" s="53">
        <f t="shared" si="1"/>
        <v>225</v>
      </c>
      <c r="E25" s="42"/>
      <c r="F25" s="55">
        <v>45954.0</v>
      </c>
      <c r="G25" s="58" t="b">
        <v>1</v>
      </c>
      <c r="H25" s="60" t="b">
        <v>1</v>
      </c>
      <c r="I25" s="64">
        <f t="shared" si="2"/>
        <v>46136</v>
      </c>
      <c r="J25" s="54" t="s">
        <v>36</v>
      </c>
    </row>
    <row r="26">
      <c r="A26" s="28">
        <v>24.0</v>
      </c>
      <c r="B26" s="42" t="s">
        <v>133</v>
      </c>
      <c r="C26" s="47">
        <v>1042.0</v>
      </c>
      <c r="D26" s="53">
        <f t="shared" si="1"/>
        <v>225</v>
      </c>
      <c r="E26" s="42"/>
      <c r="F26" s="55">
        <v>45956.0</v>
      </c>
      <c r="G26" s="58" t="b">
        <v>1</v>
      </c>
      <c r="H26" s="60" t="b">
        <v>1</v>
      </c>
      <c r="I26" s="64">
        <f t="shared" si="2"/>
        <v>46138</v>
      </c>
      <c r="J26" s="54" t="s">
        <v>36</v>
      </c>
    </row>
    <row r="27">
      <c r="A27" s="28">
        <v>25.0</v>
      </c>
      <c r="B27" s="42" t="s">
        <v>135</v>
      </c>
      <c r="C27" s="47">
        <v>1043.0</v>
      </c>
      <c r="D27" s="53">
        <f t="shared" si="1"/>
        <v>225</v>
      </c>
      <c r="E27" s="42"/>
      <c r="F27" s="55">
        <v>45957.0</v>
      </c>
      <c r="G27" s="58" t="b">
        <v>1</v>
      </c>
      <c r="H27" s="60" t="b">
        <v>0</v>
      </c>
      <c r="I27" s="64">
        <f t="shared" si="2"/>
        <v>46139</v>
      </c>
      <c r="J27" s="54" t="s">
        <v>36</v>
      </c>
    </row>
    <row r="28">
      <c r="A28" s="28">
        <v>26.0</v>
      </c>
      <c r="B28" s="42" t="s">
        <v>139</v>
      </c>
      <c r="C28" s="47">
        <v>1044.0</v>
      </c>
      <c r="D28" s="53">
        <f t="shared" si="1"/>
        <v>225</v>
      </c>
      <c r="E28" s="42"/>
      <c r="F28" s="55">
        <v>45957.0</v>
      </c>
      <c r="G28" s="58" t="b">
        <v>1</v>
      </c>
      <c r="H28" s="60" t="b">
        <v>1</v>
      </c>
      <c r="I28" s="64">
        <f t="shared" si="2"/>
        <v>46139</v>
      </c>
      <c r="J28" s="54" t="s">
        <v>36</v>
      </c>
    </row>
    <row r="29">
      <c r="A29" s="28">
        <v>27.0</v>
      </c>
      <c r="B29" s="42" t="s">
        <v>141</v>
      </c>
      <c r="C29" s="47">
        <v>1045.0</v>
      </c>
      <c r="D29" s="53">
        <f t="shared" si="1"/>
        <v>225</v>
      </c>
      <c r="E29" s="42"/>
      <c r="F29" s="55">
        <v>45958.0</v>
      </c>
      <c r="G29" s="58" t="b">
        <v>1</v>
      </c>
      <c r="H29" s="60" t="b">
        <v>1</v>
      </c>
      <c r="I29" s="64">
        <f t="shared" si="2"/>
        <v>46140</v>
      </c>
      <c r="J29" s="54" t="s">
        <v>36</v>
      </c>
    </row>
    <row r="30">
      <c r="A30" s="28">
        <v>28.0</v>
      </c>
      <c r="B30" s="42" t="s">
        <v>146</v>
      </c>
      <c r="C30" s="47">
        <v>1046.0</v>
      </c>
      <c r="D30" s="53">
        <f t="shared" si="1"/>
        <v>225</v>
      </c>
      <c r="E30" s="42"/>
      <c r="F30" s="55">
        <v>45959.0</v>
      </c>
      <c r="G30" s="58" t="b">
        <v>1</v>
      </c>
      <c r="H30" s="60" t="b">
        <v>1</v>
      </c>
      <c r="I30" s="64">
        <f t="shared" si="2"/>
        <v>46141</v>
      </c>
      <c r="J30" s="54" t="s">
        <v>36</v>
      </c>
    </row>
    <row r="31">
      <c r="A31" s="28">
        <v>29.0</v>
      </c>
      <c r="B31" s="42" t="s">
        <v>147</v>
      </c>
      <c r="C31" s="47">
        <v>1047.0</v>
      </c>
      <c r="D31" s="53">
        <f t="shared" si="1"/>
        <v>225</v>
      </c>
      <c r="E31" s="42"/>
      <c r="F31" s="55">
        <v>45959.0</v>
      </c>
      <c r="G31" s="58" t="b">
        <v>1</v>
      </c>
      <c r="H31" s="60" t="b">
        <v>1</v>
      </c>
      <c r="I31" s="64">
        <f t="shared" si="2"/>
        <v>46141</v>
      </c>
      <c r="J31" s="54" t="s">
        <v>36</v>
      </c>
    </row>
    <row r="32">
      <c r="A32" s="28">
        <v>30.0</v>
      </c>
      <c r="B32" s="78" t="s">
        <v>151</v>
      </c>
      <c r="C32" s="47">
        <v>1048.0</v>
      </c>
      <c r="D32" s="53">
        <f t="shared" si="1"/>
        <v>225</v>
      </c>
      <c r="E32" s="42"/>
      <c r="F32" s="55">
        <v>45959.0</v>
      </c>
      <c r="G32" s="58" t="b">
        <v>1</v>
      </c>
      <c r="H32" s="60" t="b">
        <v>0</v>
      </c>
      <c r="I32" s="64">
        <f t="shared" si="2"/>
        <v>46141</v>
      </c>
      <c r="J32" s="54" t="s">
        <v>36</v>
      </c>
    </row>
    <row r="33">
      <c r="A33" s="28">
        <v>31.0</v>
      </c>
      <c r="B33" s="78" t="s">
        <v>154</v>
      </c>
      <c r="C33" s="47">
        <v>1049.0</v>
      </c>
      <c r="D33" s="53">
        <f t="shared" si="1"/>
        <v>225</v>
      </c>
      <c r="E33" s="42"/>
      <c r="F33" s="55">
        <v>45963.0</v>
      </c>
      <c r="G33" s="58" t="b">
        <v>1</v>
      </c>
      <c r="H33" s="60" t="b">
        <v>1</v>
      </c>
      <c r="I33" s="64">
        <f t="shared" si="2"/>
        <v>46144</v>
      </c>
      <c r="J33" s="54" t="s">
        <v>36</v>
      </c>
    </row>
    <row r="34">
      <c r="A34" s="28">
        <v>32.0</v>
      </c>
      <c r="B34" s="78" t="s">
        <v>159</v>
      </c>
      <c r="C34" s="47">
        <v>1050.0</v>
      </c>
      <c r="D34" s="53">
        <f t="shared" si="1"/>
        <v>225</v>
      </c>
      <c r="E34" s="42"/>
      <c r="F34" s="55">
        <v>45964.0</v>
      </c>
      <c r="G34" s="58" t="b">
        <v>1</v>
      </c>
      <c r="H34" s="60" t="b">
        <v>1</v>
      </c>
      <c r="I34" s="64">
        <f t="shared" si="2"/>
        <v>46145</v>
      </c>
      <c r="J34" s="54" t="s">
        <v>36</v>
      </c>
    </row>
    <row r="35">
      <c r="A35" s="28">
        <v>33.0</v>
      </c>
      <c r="B35" s="78" t="s">
        <v>160</v>
      </c>
      <c r="C35" s="47">
        <v>1051.0</v>
      </c>
      <c r="D35" s="53">
        <f t="shared" si="1"/>
        <v>225</v>
      </c>
      <c r="E35" s="80"/>
      <c r="F35" s="55">
        <v>45966.0</v>
      </c>
      <c r="G35" s="58" t="b">
        <v>1</v>
      </c>
      <c r="H35" s="60" t="b">
        <v>1</v>
      </c>
      <c r="I35" s="64">
        <f t="shared" si="2"/>
        <v>46147</v>
      </c>
      <c r="J35" s="54" t="s">
        <v>36</v>
      </c>
    </row>
    <row r="36">
      <c r="A36" s="28">
        <v>34.0</v>
      </c>
      <c r="B36" s="78" t="s">
        <v>164</v>
      </c>
      <c r="C36" s="47">
        <v>1052.0</v>
      </c>
      <c r="D36" s="53">
        <f t="shared" si="1"/>
        <v>225</v>
      </c>
      <c r="E36" s="80"/>
      <c r="F36" s="55">
        <v>45966.0</v>
      </c>
      <c r="G36" s="58" t="b">
        <v>1</v>
      </c>
      <c r="H36" s="60" t="b">
        <v>1</v>
      </c>
      <c r="I36" s="64">
        <f t="shared" si="2"/>
        <v>46147</v>
      </c>
      <c r="J36" s="54" t="s">
        <v>36</v>
      </c>
    </row>
    <row r="37">
      <c r="A37" s="28">
        <v>35.0</v>
      </c>
      <c r="B37" s="78" t="s">
        <v>168</v>
      </c>
      <c r="C37" s="47">
        <v>1053.0</v>
      </c>
      <c r="D37" s="53">
        <f t="shared" si="1"/>
        <v>225</v>
      </c>
      <c r="E37" s="42"/>
      <c r="F37" s="55">
        <v>45966.0</v>
      </c>
      <c r="G37" s="58" t="b">
        <v>1</v>
      </c>
      <c r="H37" s="60" t="b">
        <v>1</v>
      </c>
      <c r="I37" s="64">
        <f t="shared" si="2"/>
        <v>46147</v>
      </c>
      <c r="J37" s="54" t="s">
        <v>36</v>
      </c>
    </row>
    <row r="38">
      <c r="A38" s="28">
        <v>36.0</v>
      </c>
      <c r="B38" s="78" t="s">
        <v>170</v>
      </c>
      <c r="C38" s="47">
        <v>1054.0</v>
      </c>
      <c r="D38" s="53">
        <f t="shared" si="1"/>
        <v>225</v>
      </c>
      <c r="E38" s="80"/>
      <c r="F38" s="55">
        <v>45967.0</v>
      </c>
      <c r="G38" s="58" t="b">
        <v>1</v>
      </c>
      <c r="H38" s="60" t="b">
        <v>1</v>
      </c>
      <c r="I38" s="64">
        <f t="shared" si="2"/>
        <v>46148</v>
      </c>
      <c r="J38" s="54" t="s">
        <v>36</v>
      </c>
    </row>
    <row r="39">
      <c r="A39" s="28">
        <v>37.0</v>
      </c>
      <c r="B39" s="78" t="s">
        <v>175</v>
      </c>
      <c r="C39" s="47">
        <v>1055.0</v>
      </c>
      <c r="D39" s="53">
        <f t="shared" si="1"/>
        <v>225</v>
      </c>
      <c r="E39" s="42"/>
      <c r="F39" s="55">
        <v>45968.0</v>
      </c>
      <c r="G39" s="58" t="b">
        <v>1</v>
      </c>
      <c r="H39" s="60" t="b">
        <v>1</v>
      </c>
      <c r="I39" s="64">
        <f t="shared" si="2"/>
        <v>46149</v>
      </c>
      <c r="J39" s="54" t="s">
        <v>36</v>
      </c>
    </row>
    <row r="40">
      <c r="A40" s="28">
        <v>38.0</v>
      </c>
      <c r="B40" s="78" t="s">
        <v>176</v>
      </c>
      <c r="C40" s="47">
        <v>1056.0</v>
      </c>
      <c r="D40" s="53">
        <f t="shared" si="1"/>
        <v>225</v>
      </c>
      <c r="E40" s="42"/>
      <c r="F40" s="55">
        <v>45970.0</v>
      </c>
      <c r="G40" s="58" t="b">
        <v>1</v>
      </c>
      <c r="H40" s="60" t="b">
        <v>1</v>
      </c>
      <c r="I40" s="64">
        <f t="shared" si="2"/>
        <v>46151</v>
      </c>
      <c r="J40" s="54" t="s">
        <v>36</v>
      </c>
    </row>
    <row r="41">
      <c r="A41" s="28">
        <v>39.0</v>
      </c>
      <c r="B41" s="78" t="s">
        <v>181</v>
      </c>
      <c r="C41" s="47">
        <v>1057.0</v>
      </c>
      <c r="D41" s="53">
        <f t="shared" si="1"/>
        <v>225</v>
      </c>
      <c r="E41" s="42"/>
      <c r="F41" s="55">
        <v>45970.0</v>
      </c>
      <c r="G41" s="58" t="b">
        <v>1</v>
      </c>
      <c r="H41" s="60" t="b">
        <v>1</v>
      </c>
      <c r="I41" s="64">
        <f t="shared" si="2"/>
        <v>46151</v>
      </c>
      <c r="J41" s="54" t="s">
        <v>36</v>
      </c>
    </row>
    <row r="42">
      <c r="A42" s="28">
        <v>40.0</v>
      </c>
      <c r="B42" s="42" t="s">
        <v>183</v>
      </c>
      <c r="C42" s="47">
        <v>1058.0</v>
      </c>
      <c r="D42" s="53">
        <f t="shared" si="1"/>
        <v>225</v>
      </c>
      <c r="E42" s="42"/>
      <c r="F42" s="55">
        <v>45972.0</v>
      </c>
      <c r="G42" s="58" t="b">
        <v>1</v>
      </c>
      <c r="H42" s="60" t="b">
        <v>1</v>
      </c>
      <c r="I42" s="64">
        <f t="shared" si="2"/>
        <v>46153</v>
      </c>
      <c r="J42" s="54" t="s">
        <v>36</v>
      </c>
    </row>
    <row r="43">
      <c r="A43" s="28">
        <v>41.0</v>
      </c>
      <c r="B43" s="42" t="s">
        <v>188</v>
      </c>
      <c r="C43" s="47">
        <v>1059.0</v>
      </c>
      <c r="D43" s="53">
        <f t="shared" si="1"/>
        <v>225</v>
      </c>
      <c r="E43" s="42"/>
      <c r="F43" s="55">
        <v>45973.0</v>
      </c>
      <c r="G43" s="58" t="b">
        <v>1</v>
      </c>
      <c r="H43" s="60" t="b">
        <v>1</v>
      </c>
      <c r="I43" s="64">
        <f t="shared" si="2"/>
        <v>46154</v>
      </c>
      <c r="J43" s="54" t="s">
        <v>36</v>
      </c>
    </row>
    <row r="44">
      <c r="A44" s="28">
        <v>42.0</v>
      </c>
      <c r="B44" s="42" t="s">
        <v>192</v>
      </c>
      <c r="C44" s="47">
        <v>1060.0</v>
      </c>
      <c r="D44" s="53">
        <f t="shared" si="1"/>
        <v>225</v>
      </c>
      <c r="E44" s="42"/>
      <c r="F44" s="55">
        <v>45973.0</v>
      </c>
      <c r="G44" s="58" t="b">
        <v>1</v>
      </c>
      <c r="H44" s="60" t="b">
        <v>0</v>
      </c>
      <c r="I44" s="64">
        <f t="shared" si="2"/>
        <v>46154</v>
      </c>
      <c r="J44" s="54" t="s">
        <v>36</v>
      </c>
    </row>
    <row r="45">
      <c r="A45" s="28">
        <v>43.0</v>
      </c>
      <c r="B45" s="42" t="s">
        <v>197</v>
      </c>
      <c r="C45" s="47">
        <v>1061.0</v>
      </c>
      <c r="D45" s="53">
        <f t="shared" si="1"/>
        <v>225</v>
      </c>
      <c r="E45" s="42"/>
      <c r="F45" s="55">
        <v>45974.0</v>
      </c>
      <c r="G45" s="58" t="b">
        <v>1</v>
      </c>
      <c r="H45" s="60" t="b">
        <v>0</v>
      </c>
      <c r="I45" s="64">
        <f t="shared" si="2"/>
        <v>46155</v>
      </c>
      <c r="J45" s="54" t="s">
        <v>36</v>
      </c>
    </row>
    <row r="46">
      <c r="A46" s="28">
        <v>44.0</v>
      </c>
      <c r="B46" s="92" t="s">
        <v>201</v>
      </c>
      <c r="C46" s="93">
        <v>1062.0</v>
      </c>
      <c r="D46" s="53">
        <f t="shared" si="1"/>
        <v>225</v>
      </c>
      <c r="E46" s="42"/>
      <c r="F46" s="95">
        <v>45974.0</v>
      </c>
      <c r="G46" s="58" t="b">
        <v>1</v>
      </c>
      <c r="H46" s="60" t="b">
        <v>1</v>
      </c>
      <c r="I46" s="64">
        <f t="shared" si="2"/>
        <v>46155</v>
      </c>
      <c r="J46" s="54" t="s">
        <v>36</v>
      </c>
    </row>
    <row r="47">
      <c r="A47" s="28">
        <v>45.0</v>
      </c>
      <c r="B47" s="98" t="s">
        <v>203</v>
      </c>
      <c r="C47" s="6">
        <v>1063.0</v>
      </c>
      <c r="D47" s="53">
        <f t="shared" si="1"/>
        <v>225</v>
      </c>
      <c r="E47" s="42"/>
      <c r="F47" s="99">
        <v>45979.0</v>
      </c>
      <c r="G47" s="58" t="b">
        <v>1</v>
      </c>
      <c r="H47" s="60" t="b">
        <v>1</v>
      </c>
      <c r="I47" s="64">
        <f t="shared" si="2"/>
        <v>46160</v>
      </c>
      <c r="J47" s="54" t="s">
        <v>36</v>
      </c>
    </row>
    <row r="48">
      <c r="A48" s="28">
        <v>46.0</v>
      </c>
      <c r="B48" s="101" t="s">
        <v>206</v>
      </c>
      <c r="C48" s="102">
        <v>1064.0</v>
      </c>
      <c r="D48" s="103">
        <f t="shared" si="1"/>
        <v>225</v>
      </c>
      <c r="E48" s="42"/>
      <c r="F48" s="105">
        <v>45981.0</v>
      </c>
      <c r="G48" s="58" t="b">
        <v>1</v>
      </c>
      <c r="H48" s="60" t="b">
        <v>1</v>
      </c>
      <c r="I48" s="64">
        <f t="shared" si="2"/>
        <v>46162</v>
      </c>
      <c r="J48" s="54" t="s">
        <v>36</v>
      </c>
    </row>
    <row r="49">
      <c r="A49" s="28">
        <v>47.0</v>
      </c>
      <c r="B49" s="101" t="s">
        <v>207</v>
      </c>
      <c r="C49" s="102">
        <v>1065.0</v>
      </c>
      <c r="D49" s="103">
        <f t="shared" si="1"/>
        <v>225</v>
      </c>
      <c r="E49" s="42"/>
      <c r="F49" s="105">
        <v>45986.0</v>
      </c>
      <c r="G49" s="58" t="b">
        <v>1</v>
      </c>
      <c r="H49" s="60" t="b">
        <v>1</v>
      </c>
      <c r="I49" s="64">
        <f t="shared" si="2"/>
        <v>46167</v>
      </c>
      <c r="J49" s="54" t="s">
        <v>36</v>
      </c>
    </row>
    <row r="50">
      <c r="A50" s="28">
        <v>48.0</v>
      </c>
      <c r="B50" s="101" t="s">
        <v>208</v>
      </c>
      <c r="C50" s="102">
        <v>1066.0</v>
      </c>
      <c r="D50" s="103">
        <f t="shared" si="1"/>
        <v>225</v>
      </c>
      <c r="E50" s="80"/>
      <c r="F50" s="105">
        <v>45987.0</v>
      </c>
      <c r="G50" s="58" t="b">
        <v>1</v>
      </c>
      <c r="H50" s="60" t="b">
        <v>0</v>
      </c>
      <c r="I50" s="64">
        <f t="shared" si="2"/>
        <v>46168</v>
      </c>
      <c r="J50" s="54" t="s">
        <v>36</v>
      </c>
    </row>
    <row r="51">
      <c r="A51" s="28">
        <v>49.0</v>
      </c>
      <c r="B51" s="101" t="s">
        <v>212</v>
      </c>
      <c r="C51" s="102">
        <v>1067.0</v>
      </c>
      <c r="D51" s="103">
        <f t="shared" si="1"/>
        <v>225</v>
      </c>
      <c r="E51" s="42"/>
      <c r="F51" s="105">
        <v>45987.0</v>
      </c>
      <c r="G51" s="58" t="b">
        <v>1</v>
      </c>
      <c r="H51" s="60" t="b">
        <v>1</v>
      </c>
      <c r="I51" s="64">
        <f t="shared" si="2"/>
        <v>46168</v>
      </c>
      <c r="J51" s="54" t="s">
        <v>36</v>
      </c>
    </row>
    <row r="52">
      <c r="A52" s="28">
        <v>50.0</v>
      </c>
      <c r="B52" s="78" t="s">
        <v>217</v>
      </c>
      <c r="C52" s="47">
        <v>1068.0</v>
      </c>
      <c r="D52" s="53">
        <f t="shared" si="1"/>
        <v>225</v>
      </c>
      <c r="E52" s="80"/>
      <c r="F52" s="55">
        <v>45989.0</v>
      </c>
      <c r="G52" s="58" t="b">
        <v>1</v>
      </c>
      <c r="H52" s="60" t="b">
        <v>1</v>
      </c>
      <c r="I52" s="64">
        <f t="shared" si="2"/>
        <v>46170</v>
      </c>
      <c r="J52" s="54" t="s">
        <v>36</v>
      </c>
    </row>
    <row r="53">
      <c r="A53" s="28">
        <v>51.0</v>
      </c>
      <c r="B53" s="78" t="s">
        <v>221</v>
      </c>
      <c r="C53" s="47">
        <v>1069.0</v>
      </c>
      <c r="D53" s="53">
        <f t="shared" si="1"/>
        <v>225</v>
      </c>
      <c r="E53" s="80"/>
      <c r="F53" s="55">
        <v>45992.0</v>
      </c>
      <c r="G53" s="58" t="b">
        <v>1</v>
      </c>
      <c r="H53" s="60" t="b">
        <v>0</v>
      </c>
      <c r="I53" s="64">
        <f t="shared" si="2"/>
        <v>46174</v>
      </c>
      <c r="J53" s="54" t="s">
        <v>36</v>
      </c>
    </row>
    <row r="54">
      <c r="A54" s="28">
        <v>52.0</v>
      </c>
      <c r="B54" s="78" t="s">
        <v>226</v>
      </c>
      <c r="C54" s="47">
        <v>1070.0</v>
      </c>
      <c r="D54" s="53">
        <f t="shared" si="1"/>
        <v>225</v>
      </c>
      <c r="E54" s="80"/>
      <c r="F54" s="55">
        <v>45993.0</v>
      </c>
      <c r="G54" s="58" t="b">
        <v>1</v>
      </c>
      <c r="H54" s="60" t="b">
        <v>1</v>
      </c>
      <c r="I54" s="64">
        <f t="shared" si="2"/>
        <v>46175</v>
      </c>
      <c r="J54" s="54" t="s">
        <v>36</v>
      </c>
    </row>
    <row r="55">
      <c r="A55" s="28">
        <v>53.0</v>
      </c>
      <c r="B55" s="78" t="s">
        <v>232</v>
      </c>
      <c r="C55" s="47">
        <v>1072.0</v>
      </c>
      <c r="D55" s="53">
        <f t="shared" si="1"/>
        <v>225</v>
      </c>
      <c r="E55" s="80"/>
      <c r="F55" s="55">
        <v>45995.0</v>
      </c>
      <c r="G55" s="58" t="b">
        <v>1</v>
      </c>
      <c r="H55" s="60" t="b">
        <v>1</v>
      </c>
      <c r="I55" s="64">
        <f t="shared" si="2"/>
        <v>46177</v>
      </c>
      <c r="J55" s="54" t="s">
        <v>36</v>
      </c>
    </row>
    <row r="56">
      <c r="A56" s="28">
        <v>54.0</v>
      </c>
      <c r="B56" s="78" t="s">
        <v>233</v>
      </c>
      <c r="C56" s="47">
        <v>1073.0</v>
      </c>
      <c r="D56" s="53">
        <f t="shared" si="1"/>
        <v>225</v>
      </c>
      <c r="E56" s="80"/>
      <c r="F56" s="55">
        <v>45996.0</v>
      </c>
      <c r="G56" s="58" t="b">
        <v>1</v>
      </c>
      <c r="H56" s="60" t="b">
        <v>1</v>
      </c>
      <c r="I56" s="64">
        <f t="shared" si="2"/>
        <v>46178</v>
      </c>
      <c r="J56" s="54" t="s">
        <v>36</v>
      </c>
    </row>
    <row r="57">
      <c r="A57" s="28">
        <v>55.0</v>
      </c>
      <c r="B57" s="78" t="s">
        <v>237</v>
      </c>
      <c r="C57" s="47">
        <v>1074.0</v>
      </c>
      <c r="D57" s="53">
        <f t="shared" si="1"/>
        <v>225</v>
      </c>
      <c r="E57" s="80"/>
      <c r="F57" s="55">
        <v>45996.0</v>
      </c>
      <c r="G57" s="58" t="b">
        <v>1</v>
      </c>
      <c r="H57" s="60" t="b">
        <v>1</v>
      </c>
      <c r="I57" s="64">
        <f t="shared" si="2"/>
        <v>46178</v>
      </c>
      <c r="J57" s="54" t="s">
        <v>36</v>
      </c>
    </row>
    <row r="58">
      <c r="A58" s="28">
        <v>56.0</v>
      </c>
      <c r="B58" s="78" t="s">
        <v>239</v>
      </c>
      <c r="C58" s="47">
        <v>1075.0</v>
      </c>
      <c r="D58" s="53">
        <f t="shared" si="1"/>
        <v>225</v>
      </c>
      <c r="E58" s="80"/>
      <c r="F58" s="55">
        <v>45996.0</v>
      </c>
      <c r="G58" s="58" t="b">
        <v>1</v>
      </c>
      <c r="H58" s="60" t="b">
        <v>1</v>
      </c>
      <c r="I58" s="64">
        <f t="shared" si="2"/>
        <v>46178</v>
      </c>
      <c r="J58" s="54" t="s">
        <v>36</v>
      </c>
    </row>
    <row r="59">
      <c r="A59" s="28">
        <v>57.0</v>
      </c>
      <c r="B59" s="78" t="s">
        <v>243</v>
      </c>
      <c r="C59" s="47">
        <v>1076.0</v>
      </c>
      <c r="D59" s="53">
        <f t="shared" si="1"/>
        <v>225</v>
      </c>
      <c r="E59" s="80"/>
      <c r="F59" s="55">
        <v>45996.0</v>
      </c>
      <c r="G59" s="58" t="b">
        <v>1</v>
      </c>
      <c r="H59" s="60" t="b">
        <v>0</v>
      </c>
      <c r="I59" s="64">
        <f t="shared" si="2"/>
        <v>46178</v>
      </c>
      <c r="J59" s="54" t="s">
        <v>36</v>
      </c>
    </row>
    <row r="60">
      <c r="A60" s="28">
        <v>58.0</v>
      </c>
      <c r="B60" s="78" t="s">
        <v>246</v>
      </c>
      <c r="C60" s="47">
        <v>1077.0</v>
      </c>
      <c r="D60" s="53">
        <f t="shared" si="1"/>
        <v>225</v>
      </c>
      <c r="E60" s="80"/>
      <c r="F60" s="55">
        <v>45998.0</v>
      </c>
      <c r="G60" s="58" t="b">
        <v>1</v>
      </c>
      <c r="H60" s="60" t="b">
        <v>0</v>
      </c>
      <c r="I60" s="64">
        <f t="shared" si="2"/>
        <v>46180</v>
      </c>
      <c r="J60" s="54" t="s">
        <v>36</v>
      </c>
    </row>
    <row r="61">
      <c r="A61" s="28">
        <v>59.0</v>
      </c>
      <c r="B61" s="78" t="s">
        <v>250</v>
      </c>
      <c r="C61" s="47">
        <v>1078.0</v>
      </c>
      <c r="D61" s="53">
        <f t="shared" si="1"/>
        <v>225</v>
      </c>
      <c r="E61" s="80"/>
      <c r="F61" s="55">
        <v>45998.0</v>
      </c>
      <c r="G61" s="58" t="b">
        <v>1</v>
      </c>
      <c r="H61" s="60" t="b">
        <v>1</v>
      </c>
      <c r="I61" s="64">
        <f t="shared" si="2"/>
        <v>46180</v>
      </c>
      <c r="J61" s="54" t="s">
        <v>36</v>
      </c>
    </row>
    <row r="62">
      <c r="A62" s="28">
        <v>60.0</v>
      </c>
      <c r="B62" s="78" t="s">
        <v>258</v>
      </c>
      <c r="C62" s="47">
        <v>1079.0</v>
      </c>
      <c r="D62" s="53">
        <f t="shared" si="1"/>
        <v>225</v>
      </c>
      <c r="E62" s="80"/>
      <c r="F62" s="55">
        <v>45999.0</v>
      </c>
      <c r="G62" s="58" t="b">
        <v>1</v>
      </c>
      <c r="H62" s="60" t="b">
        <v>1</v>
      </c>
      <c r="I62" s="64">
        <f t="shared" si="2"/>
        <v>46181</v>
      </c>
      <c r="J62" s="54" t="s">
        <v>36</v>
      </c>
    </row>
    <row r="63">
      <c r="A63" s="28">
        <v>61.0</v>
      </c>
      <c r="B63" s="78" t="s">
        <v>266</v>
      </c>
      <c r="C63" s="47">
        <v>1080.0</v>
      </c>
      <c r="D63" s="53">
        <f t="shared" si="1"/>
        <v>225</v>
      </c>
      <c r="E63" s="80"/>
      <c r="F63" s="55">
        <v>46000.0</v>
      </c>
      <c r="G63" s="58" t="b">
        <v>1</v>
      </c>
      <c r="H63" s="60" t="b">
        <v>1</v>
      </c>
      <c r="I63" s="64">
        <f t="shared" si="2"/>
        <v>46182</v>
      </c>
      <c r="J63" s="54" t="s">
        <v>36</v>
      </c>
    </row>
    <row r="64">
      <c r="A64" s="28">
        <v>62.0</v>
      </c>
      <c r="B64" s="78" t="s">
        <v>269</v>
      </c>
      <c r="C64" s="47">
        <v>1081.0</v>
      </c>
      <c r="D64" s="53">
        <f t="shared" si="1"/>
        <v>225</v>
      </c>
      <c r="E64" s="80"/>
      <c r="F64" s="55">
        <v>46000.0</v>
      </c>
      <c r="G64" s="58" t="b">
        <v>1</v>
      </c>
      <c r="H64" s="60" t="b">
        <v>1</v>
      </c>
      <c r="I64" s="64">
        <f t="shared" si="2"/>
        <v>46182</v>
      </c>
      <c r="J64" s="54" t="s">
        <v>36</v>
      </c>
    </row>
    <row r="65">
      <c r="A65" s="28">
        <v>63.0</v>
      </c>
      <c r="B65" s="78" t="s">
        <v>270</v>
      </c>
      <c r="C65" s="47">
        <v>1082.0</v>
      </c>
      <c r="D65" s="53">
        <f t="shared" si="1"/>
        <v>225</v>
      </c>
      <c r="E65" s="80"/>
      <c r="F65" s="55">
        <v>46001.0</v>
      </c>
      <c r="G65" s="58" t="b">
        <v>1</v>
      </c>
      <c r="H65" s="60" t="b">
        <v>1</v>
      </c>
      <c r="I65" s="64">
        <f t="shared" si="2"/>
        <v>46183</v>
      </c>
      <c r="J65" s="54" t="s">
        <v>36</v>
      </c>
    </row>
    <row r="66">
      <c r="A66" s="28">
        <v>64.0</v>
      </c>
      <c r="B66" s="78" t="s">
        <v>272</v>
      </c>
      <c r="C66" s="47">
        <v>1083.0</v>
      </c>
      <c r="D66" s="53">
        <f t="shared" si="1"/>
        <v>225</v>
      </c>
      <c r="E66" s="80"/>
      <c r="F66" s="55">
        <v>46002.0</v>
      </c>
      <c r="G66" s="58" t="b">
        <v>1</v>
      </c>
      <c r="H66" s="60" t="b">
        <v>0</v>
      </c>
      <c r="I66" s="64">
        <f t="shared" si="2"/>
        <v>46184</v>
      </c>
      <c r="J66" s="54" t="s">
        <v>36</v>
      </c>
    </row>
    <row r="67">
      <c r="A67" s="28">
        <v>65.0</v>
      </c>
      <c r="B67" s="78" t="s">
        <v>275</v>
      </c>
      <c r="C67" s="47">
        <v>1084.0</v>
      </c>
      <c r="D67" s="53">
        <f t="shared" si="1"/>
        <v>225</v>
      </c>
      <c r="E67" s="80"/>
      <c r="F67" s="55">
        <v>46002.0</v>
      </c>
      <c r="G67" s="58" t="b">
        <v>1</v>
      </c>
      <c r="H67" s="60" t="b">
        <v>1</v>
      </c>
      <c r="I67" s="64">
        <f t="shared" si="2"/>
        <v>46184</v>
      </c>
      <c r="J67" s="54" t="s">
        <v>36</v>
      </c>
    </row>
    <row r="68">
      <c r="A68" s="28">
        <v>66.0</v>
      </c>
      <c r="B68" s="78" t="s">
        <v>280</v>
      </c>
      <c r="C68" s="47">
        <v>1085.0</v>
      </c>
      <c r="D68" s="53">
        <f t="shared" si="1"/>
        <v>225</v>
      </c>
      <c r="E68" s="80"/>
      <c r="F68" s="55">
        <v>46002.0</v>
      </c>
      <c r="G68" s="58" t="b">
        <v>1</v>
      </c>
      <c r="H68" s="60" t="b">
        <v>1</v>
      </c>
      <c r="I68" s="64">
        <f t="shared" si="2"/>
        <v>46184</v>
      </c>
      <c r="J68" s="54" t="s">
        <v>36</v>
      </c>
    </row>
    <row r="69">
      <c r="A69" s="28">
        <v>67.0</v>
      </c>
      <c r="B69" s="78" t="s">
        <v>285</v>
      </c>
      <c r="C69" s="47">
        <v>1086.0</v>
      </c>
      <c r="D69" s="53">
        <f t="shared" si="1"/>
        <v>225</v>
      </c>
      <c r="E69" s="80"/>
      <c r="F69" s="55">
        <v>46003.0</v>
      </c>
      <c r="G69" s="58" t="b">
        <v>1</v>
      </c>
      <c r="H69" s="60" t="b">
        <v>0</v>
      </c>
      <c r="I69" s="64">
        <f t="shared" si="2"/>
        <v>46185</v>
      </c>
      <c r="J69" s="54" t="s">
        <v>36</v>
      </c>
    </row>
    <row r="70">
      <c r="A70" s="28">
        <v>68.0</v>
      </c>
      <c r="B70" s="78" t="s">
        <v>293</v>
      </c>
      <c r="C70" s="47">
        <v>1087.0</v>
      </c>
      <c r="D70" s="53">
        <f t="shared" si="1"/>
        <v>225</v>
      </c>
      <c r="E70" s="80"/>
      <c r="F70" s="55">
        <v>46003.0</v>
      </c>
      <c r="G70" s="58" t="b">
        <v>1</v>
      </c>
      <c r="H70" s="60" t="b">
        <v>0</v>
      </c>
      <c r="I70" s="64">
        <f t="shared" si="2"/>
        <v>46185</v>
      </c>
      <c r="J70" s="54" t="s">
        <v>36</v>
      </c>
    </row>
    <row r="71">
      <c r="A71" s="28">
        <v>69.0</v>
      </c>
      <c r="B71" s="78" t="s">
        <v>298</v>
      </c>
      <c r="C71" s="47">
        <v>1088.0</v>
      </c>
      <c r="D71" s="53">
        <f t="shared" si="1"/>
        <v>225</v>
      </c>
      <c r="E71" s="80"/>
      <c r="F71" s="55">
        <v>46004.0</v>
      </c>
      <c r="G71" s="58" t="b">
        <v>1</v>
      </c>
      <c r="H71" s="60" t="b">
        <v>1</v>
      </c>
      <c r="I71" s="64">
        <f t="shared" si="2"/>
        <v>46186</v>
      </c>
      <c r="J71" s="54" t="s">
        <v>36</v>
      </c>
    </row>
    <row r="72">
      <c r="A72" s="28">
        <v>70.0</v>
      </c>
      <c r="B72" s="78" t="s">
        <v>302</v>
      </c>
      <c r="C72" s="47">
        <v>1089.0</v>
      </c>
      <c r="D72" s="53">
        <f t="shared" si="1"/>
        <v>225</v>
      </c>
      <c r="E72" s="80"/>
      <c r="F72" s="55">
        <v>46004.0</v>
      </c>
      <c r="G72" s="58" t="b">
        <v>1</v>
      </c>
      <c r="H72" s="60" t="b">
        <v>1</v>
      </c>
      <c r="I72" s="64">
        <f t="shared" si="2"/>
        <v>46186</v>
      </c>
      <c r="J72" s="54" t="s">
        <v>36</v>
      </c>
    </row>
    <row r="73">
      <c r="A73" s="28">
        <v>71.0</v>
      </c>
      <c r="B73" s="78" t="s">
        <v>310</v>
      </c>
      <c r="C73" s="47">
        <v>1090.0</v>
      </c>
      <c r="D73" s="53">
        <f t="shared" si="1"/>
        <v>225</v>
      </c>
      <c r="E73" s="80"/>
      <c r="F73" s="55">
        <v>46005.0</v>
      </c>
      <c r="G73" s="58" t="b">
        <v>1</v>
      </c>
      <c r="H73" s="60" t="b">
        <v>1</v>
      </c>
      <c r="I73" s="64">
        <f t="shared" si="2"/>
        <v>46187</v>
      </c>
      <c r="J73" s="54" t="s">
        <v>36</v>
      </c>
    </row>
    <row r="74">
      <c r="A74" s="28">
        <v>72.0</v>
      </c>
      <c r="B74" s="78" t="s">
        <v>315</v>
      </c>
      <c r="C74" s="47">
        <v>1091.0</v>
      </c>
      <c r="D74" s="53">
        <f t="shared" si="1"/>
        <v>225</v>
      </c>
      <c r="E74" s="80"/>
      <c r="F74" s="55">
        <v>46005.0</v>
      </c>
      <c r="G74" s="58" t="b">
        <v>1</v>
      </c>
      <c r="H74" s="60" t="b">
        <v>1</v>
      </c>
      <c r="I74" s="64">
        <f t="shared" si="2"/>
        <v>46187</v>
      </c>
      <c r="J74" s="54" t="s">
        <v>36</v>
      </c>
    </row>
    <row r="75">
      <c r="A75" s="28">
        <v>73.0</v>
      </c>
      <c r="B75" s="78" t="s">
        <v>318</v>
      </c>
      <c r="C75" s="47">
        <v>1092.0</v>
      </c>
      <c r="D75" s="53">
        <f t="shared" si="1"/>
        <v>225</v>
      </c>
      <c r="E75" s="80"/>
      <c r="F75" s="55">
        <v>46005.0</v>
      </c>
      <c r="G75" s="58" t="b">
        <v>1</v>
      </c>
      <c r="H75" s="60" t="b">
        <v>1</v>
      </c>
      <c r="I75" s="64">
        <f t="shared" si="2"/>
        <v>46187</v>
      </c>
      <c r="J75" s="54" t="s">
        <v>36</v>
      </c>
    </row>
    <row r="76">
      <c r="A76" s="28">
        <v>74.0</v>
      </c>
      <c r="B76" s="78" t="s">
        <v>323</v>
      </c>
      <c r="C76" s="47">
        <v>1093.0</v>
      </c>
      <c r="D76" s="53">
        <f t="shared" si="1"/>
        <v>225</v>
      </c>
      <c r="E76" s="80"/>
      <c r="F76" s="55">
        <v>46005.0</v>
      </c>
      <c r="G76" s="58" t="b">
        <v>1</v>
      </c>
      <c r="H76" s="60" t="b">
        <v>1</v>
      </c>
      <c r="I76" s="64">
        <f t="shared" si="2"/>
        <v>46187</v>
      </c>
      <c r="J76" s="54" t="s">
        <v>36</v>
      </c>
    </row>
    <row r="77">
      <c r="A77" s="28">
        <v>75.0</v>
      </c>
      <c r="B77" s="78" t="s">
        <v>328</v>
      </c>
      <c r="C77" s="47">
        <v>1094.0</v>
      </c>
      <c r="D77" s="53">
        <f t="shared" si="1"/>
        <v>225</v>
      </c>
      <c r="E77" s="80"/>
      <c r="F77" s="55">
        <v>46006.0</v>
      </c>
      <c r="G77" s="58" t="b">
        <v>1</v>
      </c>
      <c r="H77" s="60" t="b">
        <v>1</v>
      </c>
      <c r="I77" s="64">
        <f t="shared" si="2"/>
        <v>46188</v>
      </c>
      <c r="J77" s="54" t="s">
        <v>36</v>
      </c>
    </row>
    <row r="78">
      <c r="A78" s="28">
        <v>76.0</v>
      </c>
      <c r="B78" s="78" t="s">
        <v>333</v>
      </c>
      <c r="C78" s="47">
        <v>1095.0</v>
      </c>
      <c r="D78" s="53">
        <f t="shared" si="1"/>
        <v>225</v>
      </c>
      <c r="E78" s="80"/>
      <c r="F78" s="55">
        <v>46006.0</v>
      </c>
      <c r="G78" s="58" t="b">
        <v>1</v>
      </c>
      <c r="H78" s="60" t="b">
        <v>1</v>
      </c>
      <c r="I78" s="64">
        <f t="shared" si="2"/>
        <v>46188</v>
      </c>
      <c r="J78" s="54" t="s">
        <v>36</v>
      </c>
    </row>
    <row r="79">
      <c r="A79" s="28">
        <v>77.0</v>
      </c>
      <c r="B79" s="78" t="s">
        <v>336</v>
      </c>
      <c r="C79" s="47">
        <v>1096.0</v>
      </c>
      <c r="D79" s="53">
        <f t="shared" si="1"/>
        <v>225</v>
      </c>
      <c r="E79" s="80"/>
      <c r="F79" s="55">
        <v>46007.0</v>
      </c>
      <c r="G79" s="58" t="b">
        <v>1</v>
      </c>
      <c r="H79" s="60" t="b">
        <v>1</v>
      </c>
      <c r="I79" s="64">
        <f t="shared" si="2"/>
        <v>46189</v>
      </c>
      <c r="J79" s="54" t="s">
        <v>36</v>
      </c>
    </row>
    <row r="80">
      <c r="A80" s="28">
        <v>78.0</v>
      </c>
      <c r="B80" s="78" t="s">
        <v>340</v>
      </c>
      <c r="C80" s="47">
        <v>1097.0</v>
      </c>
      <c r="D80" s="53">
        <f t="shared" si="1"/>
        <v>225</v>
      </c>
      <c r="E80" s="80"/>
      <c r="F80" s="55">
        <v>46008.0</v>
      </c>
      <c r="G80" s="58" t="b">
        <v>1</v>
      </c>
      <c r="H80" s="60" t="b">
        <v>1</v>
      </c>
      <c r="I80" s="64">
        <f t="shared" si="2"/>
        <v>46190</v>
      </c>
      <c r="J80" s="54" t="s">
        <v>36</v>
      </c>
    </row>
    <row r="81">
      <c r="A81" s="28">
        <v>79.0</v>
      </c>
      <c r="B81" s="78" t="s">
        <v>345</v>
      </c>
      <c r="C81" s="47">
        <v>1098.0</v>
      </c>
      <c r="D81" s="53">
        <f t="shared" si="1"/>
        <v>225</v>
      </c>
      <c r="E81" s="80"/>
      <c r="F81" s="55">
        <v>46008.0</v>
      </c>
      <c r="G81" s="58" t="b">
        <v>1</v>
      </c>
      <c r="H81" s="60" t="b">
        <v>1</v>
      </c>
      <c r="I81" s="64">
        <f t="shared" si="2"/>
        <v>46190</v>
      </c>
      <c r="J81" s="54" t="s">
        <v>36</v>
      </c>
    </row>
    <row r="82">
      <c r="A82" s="28">
        <v>80.0</v>
      </c>
      <c r="B82" s="78" t="s">
        <v>350</v>
      </c>
      <c r="C82" s="47">
        <v>1099.0</v>
      </c>
      <c r="D82" s="53">
        <f t="shared" si="1"/>
        <v>225</v>
      </c>
      <c r="E82" s="80"/>
      <c r="F82" s="55">
        <v>46008.0</v>
      </c>
      <c r="G82" s="58" t="b">
        <v>1</v>
      </c>
      <c r="H82" s="60" t="b">
        <v>0</v>
      </c>
      <c r="I82" s="64">
        <f t="shared" si="2"/>
        <v>46190</v>
      </c>
      <c r="J82" s="54" t="s">
        <v>36</v>
      </c>
    </row>
    <row r="83">
      <c r="A83" s="28">
        <v>81.0</v>
      </c>
      <c r="B83" s="78" t="s">
        <v>355</v>
      </c>
      <c r="C83" s="47">
        <v>1100.0</v>
      </c>
      <c r="D83" s="53">
        <f t="shared" si="1"/>
        <v>225</v>
      </c>
      <c r="E83" s="80"/>
      <c r="F83" s="55">
        <v>46009.0</v>
      </c>
      <c r="G83" s="58" t="b">
        <v>1</v>
      </c>
      <c r="H83" s="60" t="b">
        <v>1</v>
      </c>
      <c r="I83" s="64">
        <f t="shared" si="2"/>
        <v>46191</v>
      </c>
      <c r="J83" s="54" t="s">
        <v>36</v>
      </c>
    </row>
    <row r="84">
      <c r="A84" s="28">
        <v>82.0</v>
      </c>
      <c r="B84" s="78" t="s">
        <v>360</v>
      </c>
      <c r="C84" s="47">
        <v>1101.0</v>
      </c>
      <c r="D84" s="53">
        <f t="shared" si="1"/>
        <v>225</v>
      </c>
      <c r="E84" s="42"/>
      <c r="F84" s="55">
        <v>46009.0</v>
      </c>
      <c r="G84" s="58" t="b">
        <v>1</v>
      </c>
      <c r="H84" s="60" t="b">
        <v>1</v>
      </c>
      <c r="I84" s="64">
        <f t="shared" si="2"/>
        <v>46191</v>
      </c>
      <c r="J84" s="54" t="s">
        <v>36</v>
      </c>
    </row>
    <row r="85">
      <c r="A85" s="28">
        <v>83.0</v>
      </c>
      <c r="B85" s="78" t="s">
        <v>364</v>
      </c>
      <c r="C85" s="47">
        <v>1102.0</v>
      </c>
      <c r="D85" s="53">
        <f t="shared" si="1"/>
        <v>225</v>
      </c>
      <c r="E85" s="80"/>
      <c r="F85" s="55">
        <v>46010.0</v>
      </c>
      <c r="G85" s="58" t="b">
        <v>1</v>
      </c>
      <c r="H85" s="60" t="b">
        <v>1</v>
      </c>
      <c r="I85" s="64">
        <f t="shared" si="2"/>
        <v>46192</v>
      </c>
      <c r="J85" s="54" t="s">
        <v>36</v>
      </c>
    </row>
    <row r="86">
      <c r="A86" s="28">
        <v>84.0</v>
      </c>
      <c r="B86" s="78" t="s">
        <v>369</v>
      </c>
      <c r="C86" s="47">
        <v>1103.0</v>
      </c>
      <c r="D86" s="53">
        <f t="shared" si="1"/>
        <v>225</v>
      </c>
      <c r="E86" s="80"/>
      <c r="F86" s="55">
        <v>46010.0</v>
      </c>
      <c r="G86" s="58" t="b">
        <v>1</v>
      </c>
      <c r="H86" s="60" t="b">
        <v>1</v>
      </c>
      <c r="I86" s="64">
        <f t="shared" si="2"/>
        <v>46192</v>
      </c>
      <c r="J86" s="54" t="s">
        <v>36</v>
      </c>
    </row>
    <row r="87">
      <c r="A87" s="28">
        <v>85.0</v>
      </c>
      <c r="B87" s="78" t="s">
        <v>375</v>
      </c>
      <c r="C87" s="47">
        <v>1104.0</v>
      </c>
      <c r="D87" s="53">
        <f t="shared" si="1"/>
        <v>225</v>
      </c>
      <c r="E87" s="80"/>
      <c r="F87" s="55">
        <v>46010.0</v>
      </c>
      <c r="G87" s="58" t="b">
        <v>1</v>
      </c>
      <c r="H87" s="60" t="b">
        <v>0</v>
      </c>
      <c r="I87" s="64">
        <f t="shared" si="2"/>
        <v>46192</v>
      </c>
      <c r="J87" s="54" t="s">
        <v>36</v>
      </c>
    </row>
    <row r="88">
      <c r="A88" s="28">
        <v>86.0</v>
      </c>
      <c r="B88" s="78" t="s">
        <v>380</v>
      </c>
      <c r="C88" s="47">
        <v>1105.0</v>
      </c>
      <c r="D88" s="53">
        <f t="shared" si="1"/>
        <v>225</v>
      </c>
      <c r="E88" s="80"/>
      <c r="F88" s="55">
        <v>46010.0</v>
      </c>
      <c r="G88" s="58" t="b">
        <v>1</v>
      </c>
      <c r="H88" s="60" t="b">
        <v>1</v>
      </c>
      <c r="I88" s="64">
        <f t="shared" si="2"/>
        <v>46192</v>
      </c>
      <c r="J88" s="54" t="s">
        <v>36</v>
      </c>
    </row>
    <row r="89">
      <c r="A89" s="28">
        <v>87.0</v>
      </c>
      <c r="B89" s="78" t="s">
        <v>384</v>
      </c>
      <c r="C89" s="47">
        <v>1106.0</v>
      </c>
      <c r="D89" s="53">
        <f t="shared" si="1"/>
        <v>225</v>
      </c>
      <c r="E89" s="80"/>
      <c r="F89" s="55">
        <v>46011.0</v>
      </c>
      <c r="G89" s="58" t="b">
        <v>1</v>
      </c>
      <c r="H89" s="60" t="b">
        <v>0</v>
      </c>
      <c r="I89" s="64">
        <f t="shared" si="2"/>
        <v>46193</v>
      </c>
      <c r="J89" s="54" t="s">
        <v>36</v>
      </c>
    </row>
    <row r="90">
      <c r="A90" s="28">
        <v>88.0</v>
      </c>
      <c r="B90" s="78" t="s">
        <v>395</v>
      </c>
      <c r="C90" s="47">
        <v>1107.0</v>
      </c>
      <c r="D90" s="53">
        <f t="shared" si="1"/>
        <v>225</v>
      </c>
      <c r="E90" s="80"/>
      <c r="F90" s="55">
        <v>46011.0</v>
      </c>
      <c r="G90" s="58" t="b">
        <v>1</v>
      </c>
      <c r="H90" s="60" t="b">
        <v>1</v>
      </c>
      <c r="I90" s="64">
        <f t="shared" si="2"/>
        <v>46193</v>
      </c>
      <c r="J90" s="54" t="s">
        <v>36</v>
      </c>
    </row>
    <row r="91">
      <c r="A91" s="28">
        <v>89.0</v>
      </c>
      <c r="B91" s="78" t="s">
        <v>400</v>
      </c>
      <c r="C91" s="47">
        <v>1108.0</v>
      </c>
      <c r="D91" s="53">
        <f>IF(B91="","",225)*2</f>
        <v>450</v>
      </c>
      <c r="E91" s="42" t="s">
        <v>412</v>
      </c>
      <c r="F91" s="55">
        <v>46011.0</v>
      </c>
      <c r="G91" s="58" t="b">
        <v>1</v>
      </c>
      <c r="H91" s="60" t="b">
        <v>0</v>
      </c>
      <c r="I91" s="64">
        <f t="shared" si="2"/>
        <v>46193</v>
      </c>
      <c r="J91" s="54" t="s">
        <v>36</v>
      </c>
    </row>
    <row r="92">
      <c r="A92" s="28">
        <v>90.0</v>
      </c>
      <c r="B92" s="78" t="s">
        <v>415</v>
      </c>
      <c r="C92" s="47">
        <v>1109.0</v>
      </c>
      <c r="D92" s="53">
        <f t="shared" ref="D92:D120" si="3">IF(B92="","",225)</f>
        <v>225</v>
      </c>
      <c r="E92" s="80"/>
      <c r="F92" s="55">
        <v>46012.0</v>
      </c>
      <c r="G92" s="58" t="b">
        <v>1</v>
      </c>
      <c r="H92" s="60" t="b">
        <v>0</v>
      </c>
      <c r="I92" s="64">
        <f t="shared" si="2"/>
        <v>46194</v>
      </c>
      <c r="J92" s="54" t="s">
        <v>36</v>
      </c>
    </row>
    <row r="93">
      <c r="A93" s="28">
        <v>91.0</v>
      </c>
      <c r="B93" s="78" t="s">
        <v>428</v>
      </c>
      <c r="C93" s="47">
        <v>1110.0</v>
      </c>
      <c r="D93" s="53">
        <f t="shared" si="3"/>
        <v>225</v>
      </c>
      <c r="E93" s="80"/>
      <c r="F93" s="55">
        <v>46012.0</v>
      </c>
      <c r="G93" s="58" t="b">
        <v>1</v>
      </c>
      <c r="H93" s="60" t="b">
        <v>1</v>
      </c>
      <c r="I93" s="64">
        <f t="shared" si="2"/>
        <v>46194</v>
      </c>
      <c r="J93" s="54" t="s">
        <v>36</v>
      </c>
    </row>
    <row r="94">
      <c r="A94" s="28">
        <v>92.0</v>
      </c>
      <c r="B94" s="78" t="s">
        <v>436</v>
      </c>
      <c r="C94" s="47">
        <v>1111.0</v>
      </c>
      <c r="D94" s="53">
        <f t="shared" si="3"/>
        <v>225</v>
      </c>
      <c r="E94" s="80"/>
      <c r="F94" s="55">
        <v>46013.0</v>
      </c>
      <c r="G94" s="58" t="b">
        <v>1</v>
      </c>
      <c r="H94" s="60" t="b">
        <v>0</v>
      </c>
      <c r="I94" s="64">
        <f t="shared" si="2"/>
        <v>46195</v>
      </c>
      <c r="J94" s="54" t="s">
        <v>36</v>
      </c>
    </row>
    <row r="95">
      <c r="A95" s="28">
        <v>93.0</v>
      </c>
      <c r="B95" s="78" t="s">
        <v>441</v>
      </c>
      <c r="C95" s="47">
        <v>1112.0</v>
      </c>
      <c r="D95" s="53">
        <f t="shared" si="3"/>
        <v>225</v>
      </c>
      <c r="E95" s="80"/>
      <c r="F95" s="55">
        <v>46013.0</v>
      </c>
      <c r="G95" s="58" t="b">
        <v>1</v>
      </c>
      <c r="H95" s="60" t="b">
        <v>0</v>
      </c>
      <c r="I95" s="64">
        <f t="shared" si="2"/>
        <v>46195</v>
      </c>
      <c r="J95" s="54" t="s">
        <v>36</v>
      </c>
    </row>
    <row r="96">
      <c r="A96" s="28">
        <v>94.0</v>
      </c>
      <c r="B96" s="78" t="s">
        <v>449</v>
      </c>
      <c r="C96" s="47">
        <v>1113.0</v>
      </c>
      <c r="D96" s="53">
        <f t="shared" si="3"/>
        <v>225</v>
      </c>
      <c r="E96" s="80"/>
      <c r="F96" s="55">
        <v>46013.0</v>
      </c>
      <c r="G96" s="58" t="b">
        <v>1</v>
      </c>
      <c r="H96" s="60" t="b">
        <v>0</v>
      </c>
      <c r="I96" s="64">
        <f t="shared" si="2"/>
        <v>46195</v>
      </c>
      <c r="J96" s="54" t="s">
        <v>36</v>
      </c>
    </row>
    <row r="97">
      <c r="A97" s="28">
        <v>95.0</v>
      </c>
      <c r="B97" s="78" t="s">
        <v>456</v>
      </c>
      <c r="C97" s="47">
        <v>1114.0</v>
      </c>
      <c r="D97" s="53">
        <f t="shared" si="3"/>
        <v>225</v>
      </c>
      <c r="E97" s="80"/>
      <c r="F97" s="119">
        <v>46013.0</v>
      </c>
      <c r="G97" s="58" t="b">
        <v>1</v>
      </c>
      <c r="H97" s="60" t="b">
        <v>0</v>
      </c>
      <c r="I97" s="64">
        <f t="shared" si="2"/>
        <v>46195</v>
      </c>
      <c r="J97" s="54" t="s">
        <v>36</v>
      </c>
    </row>
    <row r="98">
      <c r="A98" s="28">
        <v>96.0</v>
      </c>
      <c r="B98" s="78" t="s">
        <v>467</v>
      </c>
      <c r="C98" s="47">
        <v>1115.0</v>
      </c>
      <c r="D98" s="53">
        <f t="shared" si="3"/>
        <v>225</v>
      </c>
      <c r="E98" s="42"/>
      <c r="F98" s="119">
        <v>46013.0</v>
      </c>
      <c r="G98" s="58" t="b">
        <v>1</v>
      </c>
      <c r="H98" s="60" t="b">
        <v>0</v>
      </c>
      <c r="I98" s="64">
        <f t="shared" si="2"/>
        <v>46195</v>
      </c>
      <c r="J98" s="54" t="s">
        <v>36</v>
      </c>
    </row>
    <row r="99">
      <c r="A99" s="28">
        <v>97.0</v>
      </c>
      <c r="B99" s="78" t="s">
        <v>469</v>
      </c>
      <c r="C99" s="47">
        <v>1116.0</v>
      </c>
      <c r="D99" s="53">
        <f t="shared" si="3"/>
        <v>225</v>
      </c>
      <c r="E99" s="80"/>
      <c r="F99" s="55">
        <v>46013.0</v>
      </c>
      <c r="G99" s="58" t="b">
        <v>1</v>
      </c>
      <c r="H99" s="60" t="b">
        <v>1</v>
      </c>
      <c r="I99" s="64">
        <f t="shared" si="2"/>
        <v>46195</v>
      </c>
      <c r="J99" s="54" t="s">
        <v>36</v>
      </c>
    </row>
    <row r="100">
      <c r="A100" s="28">
        <v>98.0</v>
      </c>
      <c r="B100" s="78" t="s">
        <v>472</v>
      </c>
      <c r="C100" s="47">
        <v>1117.0</v>
      </c>
      <c r="D100" s="53">
        <f t="shared" si="3"/>
        <v>225</v>
      </c>
      <c r="E100" s="80"/>
      <c r="F100" s="55">
        <v>46014.0</v>
      </c>
      <c r="G100" s="58" t="b">
        <v>1</v>
      </c>
      <c r="H100" s="60" t="b">
        <v>0</v>
      </c>
      <c r="I100" s="64">
        <f t="shared" si="2"/>
        <v>46196</v>
      </c>
      <c r="J100" s="54" t="s">
        <v>36</v>
      </c>
    </row>
    <row r="101">
      <c r="A101" s="28">
        <v>99.0</v>
      </c>
      <c r="B101" s="78" t="s">
        <v>475</v>
      </c>
      <c r="C101" s="47">
        <v>1118.0</v>
      </c>
      <c r="D101" s="53">
        <f t="shared" si="3"/>
        <v>225</v>
      </c>
      <c r="E101" s="80"/>
      <c r="F101" s="119">
        <v>46014.0</v>
      </c>
      <c r="G101" s="58" t="b">
        <v>1</v>
      </c>
      <c r="H101" s="60" t="b">
        <v>1</v>
      </c>
      <c r="I101" s="64">
        <f t="shared" si="2"/>
        <v>46196</v>
      </c>
      <c r="J101" s="54" t="s">
        <v>36</v>
      </c>
    </row>
    <row r="102">
      <c r="A102" s="28">
        <v>100.0</v>
      </c>
      <c r="B102" s="78" t="s">
        <v>482</v>
      </c>
      <c r="C102" s="47">
        <v>1119.0</v>
      </c>
      <c r="D102" s="53">
        <f t="shared" si="3"/>
        <v>225</v>
      </c>
      <c r="E102" s="42"/>
      <c r="F102" s="55">
        <v>46014.0</v>
      </c>
      <c r="G102" s="58" t="b">
        <v>1</v>
      </c>
      <c r="H102" s="60" t="b">
        <v>1</v>
      </c>
      <c r="I102" s="64">
        <f t="shared" si="2"/>
        <v>46196</v>
      </c>
      <c r="J102" s="54" t="s">
        <v>36</v>
      </c>
    </row>
    <row r="103">
      <c r="A103" s="28">
        <v>101.0</v>
      </c>
      <c r="B103" s="78" t="s">
        <v>488</v>
      </c>
      <c r="C103" s="47">
        <v>1120.0</v>
      </c>
      <c r="D103" s="53">
        <f t="shared" si="3"/>
        <v>225</v>
      </c>
      <c r="E103" s="80"/>
      <c r="F103" s="55">
        <v>46014.0</v>
      </c>
      <c r="G103" s="58" t="b">
        <v>1</v>
      </c>
      <c r="H103" s="60" t="b">
        <v>1</v>
      </c>
      <c r="I103" s="64">
        <f t="shared" si="2"/>
        <v>46196</v>
      </c>
      <c r="J103" s="54" t="s">
        <v>36</v>
      </c>
    </row>
    <row r="104">
      <c r="A104" s="28">
        <v>102.0</v>
      </c>
      <c r="B104" s="78" t="s">
        <v>495</v>
      </c>
      <c r="C104" s="47">
        <v>1121.0</v>
      </c>
      <c r="D104" s="53">
        <f t="shared" si="3"/>
        <v>225</v>
      </c>
      <c r="E104" s="80"/>
      <c r="F104" s="55">
        <v>46014.0</v>
      </c>
      <c r="G104" s="58" t="b">
        <v>1</v>
      </c>
      <c r="H104" s="60" t="b">
        <v>0</v>
      </c>
      <c r="I104" s="64">
        <f t="shared" si="2"/>
        <v>46196</v>
      </c>
      <c r="J104" s="54" t="s">
        <v>36</v>
      </c>
    </row>
    <row r="105">
      <c r="A105" s="28">
        <v>103.0</v>
      </c>
      <c r="B105" s="78" t="s">
        <v>503</v>
      </c>
      <c r="C105" s="47">
        <v>1122.0</v>
      </c>
      <c r="D105" s="53">
        <f t="shared" si="3"/>
        <v>225</v>
      </c>
      <c r="E105" s="80"/>
      <c r="F105" s="55">
        <v>46014.0</v>
      </c>
      <c r="G105" s="58" t="b">
        <v>1</v>
      </c>
      <c r="H105" s="60" t="b">
        <v>1</v>
      </c>
      <c r="I105" s="64">
        <f t="shared" si="2"/>
        <v>46196</v>
      </c>
      <c r="J105" s="54" t="s">
        <v>36</v>
      </c>
    </row>
    <row r="106">
      <c r="A106" s="28">
        <v>104.0</v>
      </c>
      <c r="B106" s="78" t="s">
        <v>510</v>
      </c>
      <c r="C106" s="47">
        <v>1123.0</v>
      </c>
      <c r="D106" s="53">
        <f t="shared" si="3"/>
        <v>225</v>
      </c>
      <c r="E106" s="80"/>
      <c r="F106" s="55">
        <v>46014.0</v>
      </c>
      <c r="G106" s="58" t="b">
        <v>1</v>
      </c>
      <c r="H106" s="60" t="b">
        <v>1</v>
      </c>
      <c r="I106" s="64">
        <f t="shared" si="2"/>
        <v>46196</v>
      </c>
      <c r="J106" s="54" t="s">
        <v>36</v>
      </c>
    </row>
    <row r="107">
      <c r="A107" s="28">
        <v>105.0</v>
      </c>
      <c r="B107" s="78" t="s">
        <v>515</v>
      </c>
      <c r="C107" s="47">
        <v>1124.0</v>
      </c>
      <c r="D107" s="53">
        <f t="shared" si="3"/>
        <v>225</v>
      </c>
      <c r="E107" s="80"/>
      <c r="F107" s="55">
        <v>46015.0</v>
      </c>
      <c r="G107" s="58" t="b">
        <v>1</v>
      </c>
      <c r="H107" s="60" t="b">
        <v>0</v>
      </c>
      <c r="I107" s="64">
        <f t="shared" si="2"/>
        <v>46197</v>
      </c>
      <c r="J107" s="54" t="s">
        <v>36</v>
      </c>
    </row>
    <row r="108">
      <c r="A108" s="28">
        <v>106.0</v>
      </c>
      <c r="B108" s="78" t="s">
        <v>521</v>
      </c>
      <c r="C108" s="47">
        <v>1125.0</v>
      </c>
      <c r="D108" s="53">
        <f t="shared" si="3"/>
        <v>225</v>
      </c>
      <c r="E108" s="80"/>
      <c r="F108" s="55">
        <v>46015.0</v>
      </c>
      <c r="G108" s="58" t="b">
        <v>1</v>
      </c>
      <c r="H108" s="60" t="b">
        <v>1</v>
      </c>
      <c r="I108" s="64">
        <f t="shared" si="2"/>
        <v>46197</v>
      </c>
      <c r="J108" s="54" t="s">
        <v>36</v>
      </c>
    </row>
    <row r="109">
      <c r="A109" s="28">
        <v>107.0</v>
      </c>
      <c r="B109" s="78" t="s">
        <v>527</v>
      </c>
      <c r="C109" s="47">
        <v>1126.0</v>
      </c>
      <c r="D109" s="53">
        <f t="shared" si="3"/>
        <v>225</v>
      </c>
      <c r="E109" s="42"/>
      <c r="F109" s="55">
        <v>46015.0</v>
      </c>
      <c r="G109" s="58" t="b">
        <v>1</v>
      </c>
      <c r="H109" s="60" t="b">
        <v>0</v>
      </c>
      <c r="I109" s="64">
        <f t="shared" si="2"/>
        <v>46197</v>
      </c>
      <c r="J109" s="54" t="s">
        <v>36</v>
      </c>
    </row>
    <row r="110">
      <c r="A110" s="28">
        <v>108.0</v>
      </c>
      <c r="B110" s="78" t="s">
        <v>540</v>
      </c>
      <c r="C110" s="47">
        <v>1127.0</v>
      </c>
      <c r="D110" s="53">
        <f t="shared" si="3"/>
        <v>225</v>
      </c>
      <c r="E110" s="80"/>
      <c r="F110" s="55">
        <v>46015.0</v>
      </c>
      <c r="G110" s="58" t="b">
        <v>1</v>
      </c>
      <c r="H110" s="60" t="b">
        <v>0</v>
      </c>
      <c r="I110" s="64">
        <f t="shared" si="2"/>
        <v>46197</v>
      </c>
      <c r="J110" s="54" t="s">
        <v>36</v>
      </c>
    </row>
    <row r="111">
      <c r="A111" s="28">
        <v>109.0</v>
      </c>
      <c r="B111" s="78" t="s">
        <v>546</v>
      </c>
      <c r="C111" s="47">
        <v>1128.0</v>
      </c>
      <c r="D111" s="53">
        <f t="shared" si="3"/>
        <v>225</v>
      </c>
      <c r="E111" s="80"/>
      <c r="F111" s="55">
        <v>46015.0</v>
      </c>
      <c r="G111" s="58" t="b">
        <v>1</v>
      </c>
      <c r="H111" s="60" t="b">
        <v>1</v>
      </c>
      <c r="I111" s="64">
        <f t="shared" si="2"/>
        <v>46197</v>
      </c>
      <c r="J111" s="54" t="s">
        <v>36</v>
      </c>
    </row>
    <row r="112">
      <c r="A112" s="28">
        <v>110.0</v>
      </c>
      <c r="B112" s="78" t="s">
        <v>554</v>
      </c>
      <c r="C112" s="47">
        <v>1129.0</v>
      </c>
      <c r="D112" s="53">
        <f t="shared" si="3"/>
        <v>225</v>
      </c>
      <c r="E112" s="80"/>
      <c r="F112" s="55">
        <v>46015.0</v>
      </c>
      <c r="G112" s="58" t="b">
        <v>1</v>
      </c>
      <c r="H112" s="60" t="b">
        <v>1</v>
      </c>
      <c r="I112" s="64">
        <f t="shared" si="2"/>
        <v>46197</v>
      </c>
      <c r="J112" s="54" t="s">
        <v>36</v>
      </c>
    </row>
    <row r="113">
      <c r="A113" s="28">
        <v>111.0</v>
      </c>
      <c r="B113" s="78" t="s">
        <v>563</v>
      </c>
      <c r="C113" s="47">
        <v>1130.0</v>
      </c>
      <c r="D113" s="53">
        <f t="shared" si="3"/>
        <v>225</v>
      </c>
      <c r="E113" s="80"/>
      <c r="F113" s="55">
        <v>46015.0</v>
      </c>
      <c r="G113" s="58" t="b">
        <v>1</v>
      </c>
      <c r="H113" s="60" t="b">
        <v>0</v>
      </c>
      <c r="I113" s="64">
        <f t="shared" si="2"/>
        <v>46197</v>
      </c>
      <c r="J113" s="54" t="s">
        <v>36</v>
      </c>
    </row>
    <row r="114">
      <c r="A114" s="28">
        <v>112.0</v>
      </c>
      <c r="B114" s="78" t="s">
        <v>572</v>
      </c>
      <c r="C114" s="47">
        <v>1131.0</v>
      </c>
      <c r="D114" s="53">
        <f t="shared" si="3"/>
        <v>225</v>
      </c>
      <c r="E114" s="80"/>
      <c r="F114" s="55">
        <v>46015.0</v>
      </c>
      <c r="G114" s="58" t="b">
        <v>1</v>
      </c>
      <c r="H114" s="60" t="b">
        <v>0</v>
      </c>
      <c r="I114" s="64">
        <f t="shared" si="2"/>
        <v>46197</v>
      </c>
      <c r="J114" s="54" t="s">
        <v>36</v>
      </c>
    </row>
    <row r="115">
      <c r="A115" s="28">
        <v>113.0</v>
      </c>
      <c r="B115" s="78" t="s">
        <v>581</v>
      </c>
      <c r="C115" s="47">
        <v>1132.0</v>
      </c>
      <c r="D115" s="53">
        <f t="shared" si="3"/>
        <v>225</v>
      </c>
      <c r="E115" s="42"/>
      <c r="F115" s="55">
        <v>46015.0</v>
      </c>
      <c r="G115" s="58" t="b">
        <v>1</v>
      </c>
      <c r="H115" s="60" t="b">
        <v>1</v>
      </c>
      <c r="I115" s="64">
        <f t="shared" si="2"/>
        <v>46197</v>
      </c>
      <c r="J115" s="54" t="s">
        <v>36</v>
      </c>
    </row>
    <row r="116">
      <c r="A116" s="28">
        <v>114.0</v>
      </c>
      <c r="B116" s="78" t="s">
        <v>586</v>
      </c>
      <c r="C116" s="47">
        <v>1133.0</v>
      </c>
      <c r="D116" s="53">
        <f t="shared" si="3"/>
        <v>225</v>
      </c>
      <c r="E116" s="80"/>
      <c r="F116" s="55">
        <v>46015.0</v>
      </c>
      <c r="G116" s="58" t="b">
        <v>1</v>
      </c>
      <c r="H116" s="60" t="b">
        <v>0</v>
      </c>
      <c r="I116" s="64">
        <f t="shared" si="2"/>
        <v>46197</v>
      </c>
      <c r="J116" s="54" t="s">
        <v>36</v>
      </c>
    </row>
    <row r="117">
      <c r="A117" s="28">
        <v>115.0</v>
      </c>
      <c r="B117" s="78" t="s">
        <v>415</v>
      </c>
      <c r="C117" s="47">
        <v>1134.0</v>
      </c>
      <c r="D117" s="53">
        <f t="shared" si="3"/>
        <v>225</v>
      </c>
      <c r="E117" s="42"/>
      <c r="F117" s="55">
        <v>46016.0</v>
      </c>
      <c r="G117" s="58" t="b">
        <v>1</v>
      </c>
      <c r="H117" s="60" t="b">
        <v>1</v>
      </c>
      <c r="I117" s="64">
        <f t="shared" si="2"/>
        <v>46198</v>
      </c>
      <c r="J117" s="54" t="s">
        <v>36</v>
      </c>
    </row>
    <row r="118">
      <c r="A118" s="28">
        <v>116.0</v>
      </c>
      <c r="B118" s="78" t="s">
        <v>597</v>
      </c>
      <c r="C118" s="47">
        <v>1135.0</v>
      </c>
      <c r="D118" s="53">
        <f t="shared" si="3"/>
        <v>225</v>
      </c>
      <c r="E118" s="80"/>
      <c r="F118" s="55">
        <v>46016.0</v>
      </c>
      <c r="G118" s="58" t="b">
        <v>1</v>
      </c>
      <c r="H118" s="60" t="b">
        <v>1</v>
      </c>
      <c r="I118" s="64">
        <f t="shared" si="2"/>
        <v>46198</v>
      </c>
      <c r="J118" s="54" t="s">
        <v>36</v>
      </c>
    </row>
    <row r="119">
      <c r="A119" s="28">
        <v>117.0</v>
      </c>
      <c r="B119" s="78" t="s">
        <v>604</v>
      </c>
      <c r="C119" s="47">
        <v>1136.0</v>
      </c>
      <c r="D119" s="53">
        <f t="shared" si="3"/>
        <v>225</v>
      </c>
      <c r="E119" s="80"/>
      <c r="F119" s="55">
        <v>46017.0</v>
      </c>
      <c r="G119" s="58" t="b">
        <v>1</v>
      </c>
      <c r="H119" s="60" t="b">
        <v>1</v>
      </c>
      <c r="I119" s="64">
        <f t="shared" si="2"/>
        <v>46199</v>
      </c>
      <c r="J119" s="54" t="s">
        <v>36</v>
      </c>
    </row>
    <row r="120">
      <c r="A120" s="28">
        <v>118.0</v>
      </c>
      <c r="B120" s="78" t="s">
        <v>609</v>
      </c>
      <c r="C120" s="47">
        <v>1137.0</v>
      </c>
      <c r="D120" s="53">
        <f t="shared" si="3"/>
        <v>225</v>
      </c>
      <c r="E120" s="80"/>
      <c r="F120" s="119">
        <v>46017.0</v>
      </c>
      <c r="G120" s="58" t="b">
        <v>1</v>
      </c>
      <c r="H120" s="60" t="b">
        <v>1</v>
      </c>
      <c r="I120" s="64">
        <f t="shared" si="2"/>
        <v>46199</v>
      </c>
      <c r="J120" s="54" t="s">
        <v>36</v>
      </c>
    </row>
    <row r="121">
      <c r="A121" s="28">
        <v>119.0</v>
      </c>
      <c r="B121" s="78" t="s">
        <v>620</v>
      </c>
      <c r="C121" s="47">
        <v>1138.0</v>
      </c>
      <c r="D121" s="53">
        <v>200.0</v>
      </c>
      <c r="E121" s="42" t="s">
        <v>621</v>
      </c>
      <c r="F121" s="55">
        <v>46018.0</v>
      </c>
      <c r="G121" s="58" t="b">
        <v>1</v>
      </c>
      <c r="H121" s="60" t="b">
        <v>1</v>
      </c>
      <c r="I121" s="64">
        <f t="shared" si="2"/>
        <v>46200</v>
      </c>
      <c r="J121" s="54" t="s">
        <v>36</v>
      </c>
    </row>
    <row r="122">
      <c r="A122" s="28">
        <v>120.0</v>
      </c>
      <c r="B122" s="42" t="s">
        <v>627</v>
      </c>
      <c r="C122" s="47">
        <v>1139.0</v>
      </c>
      <c r="D122" s="53">
        <f t="shared" ref="D122:D152" si="4">IF(B122="","",225)</f>
        <v>225</v>
      </c>
      <c r="E122" s="80"/>
      <c r="F122" s="55">
        <v>46018.0</v>
      </c>
      <c r="G122" s="58" t="b">
        <v>1</v>
      </c>
      <c r="H122" s="60" t="b">
        <v>1</v>
      </c>
      <c r="I122" s="64">
        <f t="shared" si="2"/>
        <v>46200</v>
      </c>
      <c r="J122" s="54" t="s">
        <v>36</v>
      </c>
    </row>
    <row r="123">
      <c r="A123" s="28">
        <v>121.0</v>
      </c>
      <c r="B123" s="42" t="s">
        <v>642</v>
      </c>
      <c r="C123" s="47">
        <v>1140.0</v>
      </c>
      <c r="D123" s="53">
        <f t="shared" si="4"/>
        <v>225</v>
      </c>
      <c r="E123" s="80"/>
      <c r="F123" s="55">
        <v>46020.0</v>
      </c>
      <c r="G123" s="58" t="b">
        <v>1</v>
      </c>
      <c r="H123" s="60" t="b">
        <v>0</v>
      </c>
      <c r="I123" s="64">
        <f t="shared" si="2"/>
        <v>46202</v>
      </c>
      <c r="J123" s="54" t="s">
        <v>36</v>
      </c>
    </row>
    <row r="124">
      <c r="A124" s="28">
        <v>122.0</v>
      </c>
      <c r="B124" s="42" t="s">
        <v>646</v>
      </c>
      <c r="C124" s="47">
        <v>1141.0</v>
      </c>
      <c r="D124" s="53">
        <f t="shared" si="4"/>
        <v>225</v>
      </c>
      <c r="E124" s="80"/>
      <c r="F124" s="55">
        <v>46020.0</v>
      </c>
      <c r="G124" s="58" t="b">
        <v>1</v>
      </c>
      <c r="H124" s="60" t="b">
        <v>1</v>
      </c>
      <c r="I124" s="64">
        <f t="shared" si="2"/>
        <v>46202</v>
      </c>
      <c r="J124" s="54" t="s">
        <v>36</v>
      </c>
    </row>
    <row r="125">
      <c r="A125" s="28">
        <v>123.0</v>
      </c>
      <c r="B125" s="42" t="s">
        <v>649</v>
      </c>
      <c r="C125" s="47">
        <v>1142.0</v>
      </c>
      <c r="D125" s="53">
        <f t="shared" si="4"/>
        <v>225</v>
      </c>
      <c r="E125" s="80"/>
      <c r="F125" s="55">
        <v>46021.0</v>
      </c>
      <c r="G125" s="58" t="b">
        <v>1</v>
      </c>
      <c r="H125" s="60" t="b">
        <v>1</v>
      </c>
      <c r="I125" s="64">
        <f t="shared" si="2"/>
        <v>46203</v>
      </c>
      <c r="J125" s="54" t="s">
        <v>36</v>
      </c>
    </row>
    <row r="126">
      <c r="A126" s="28">
        <v>124.0</v>
      </c>
      <c r="B126" s="42" t="s">
        <v>654</v>
      </c>
      <c r="C126" s="47">
        <v>1143.0</v>
      </c>
      <c r="D126" s="53">
        <f t="shared" si="4"/>
        <v>225</v>
      </c>
      <c r="E126" s="80"/>
      <c r="F126" s="55">
        <v>46021.0</v>
      </c>
      <c r="G126" s="58" t="b">
        <v>1</v>
      </c>
      <c r="H126" s="60" t="b">
        <v>1</v>
      </c>
      <c r="I126" s="64">
        <f t="shared" si="2"/>
        <v>46203</v>
      </c>
      <c r="J126" s="54" t="s">
        <v>36</v>
      </c>
    </row>
    <row r="127">
      <c r="A127" s="28">
        <v>125.0</v>
      </c>
      <c r="B127" s="42" t="s">
        <v>664</v>
      </c>
      <c r="C127" s="47">
        <v>1144.0</v>
      </c>
      <c r="D127" s="53">
        <f t="shared" si="4"/>
        <v>225</v>
      </c>
      <c r="E127" s="80"/>
      <c r="F127" s="55">
        <v>46024.0</v>
      </c>
      <c r="G127" s="58" t="b">
        <v>1</v>
      </c>
      <c r="H127" s="60" t="b">
        <v>0</v>
      </c>
      <c r="I127" s="64">
        <f t="shared" si="2"/>
        <v>46205</v>
      </c>
      <c r="J127" s="54" t="s">
        <v>36</v>
      </c>
    </row>
    <row r="128">
      <c r="A128" s="28">
        <v>126.0</v>
      </c>
      <c r="B128" s="42" t="s">
        <v>669</v>
      </c>
      <c r="C128" s="47">
        <v>1145.0</v>
      </c>
      <c r="D128" s="53">
        <f t="shared" si="4"/>
        <v>225</v>
      </c>
      <c r="E128" s="80"/>
      <c r="F128" s="55">
        <v>46024.0</v>
      </c>
      <c r="G128" s="58" t="b">
        <v>1</v>
      </c>
      <c r="H128" s="60" t="b">
        <v>0</v>
      </c>
      <c r="I128" s="64">
        <f t="shared" si="2"/>
        <v>46205</v>
      </c>
      <c r="J128" s="54" t="s">
        <v>36</v>
      </c>
    </row>
    <row r="129">
      <c r="A129" s="28">
        <v>127.0</v>
      </c>
      <c r="B129" s="42" t="s">
        <v>677</v>
      </c>
      <c r="C129" s="47">
        <v>1146.0</v>
      </c>
      <c r="D129" s="53">
        <f t="shared" si="4"/>
        <v>225</v>
      </c>
      <c r="E129" s="80"/>
      <c r="F129" s="55">
        <v>46024.0</v>
      </c>
      <c r="G129" s="58" t="b">
        <v>1</v>
      </c>
      <c r="H129" s="60" t="b">
        <v>1</v>
      </c>
      <c r="I129" s="64">
        <f t="shared" si="2"/>
        <v>46205</v>
      </c>
      <c r="J129" s="54" t="s">
        <v>36</v>
      </c>
    </row>
    <row r="130">
      <c r="A130" s="28">
        <v>128.0</v>
      </c>
      <c r="B130" s="42" t="s">
        <v>681</v>
      </c>
      <c r="C130" s="47">
        <v>1147.0</v>
      </c>
      <c r="D130" s="53">
        <f t="shared" si="4"/>
        <v>225</v>
      </c>
      <c r="E130" s="80"/>
      <c r="F130" s="55">
        <v>46025.0</v>
      </c>
      <c r="G130" s="58" t="b">
        <v>1</v>
      </c>
      <c r="H130" s="60" t="b">
        <v>1</v>
      </c>
      <c r="I130" s="64">
        <f t="shared" si="2"/>
        <v>46206</v>
      </c>
      <c r="J130" s="54" t="s">
        <v>36</v>
      </c>
    </row>
    <row r="131">
      <c r="A131" s="28">
        <v>129.0</v>
      </c>
      <c r="B131" s="42" t="s">
        <v>687</v>
      </c>
      <c r="C131" s="47">
        <v>1148.0</v>
      </c>
      <c r="D131" s="53">
        <f t="shared" si="4"/>
        <v>225</v>
      </c>
      <c r="E131" s="80"/>
      <c r="F131" s="55">
        <v>46025.0</v>
      </c>
      <c r="G131" s="58" t="b">
        <v>1</v>
      </c>
      <c r="H131" s="60" t="b">
        <v>0</v>
      </c>
      <c r="I131" s="64">
        <f t="shared" si="2"/>
        <v>46206</v>
      </c>
      <c r="J131" s="54" t="s">
        <v>36</v>
      </c>
    </row>
    <row r="132">
      <c r="A132" s="28">
        <v>130.0</v>
      </c>
      <c r="B132" s="42" t="s">
        <v>687</v>
      </c>
      <c r="C132" s="47">
        <v>1149.0</v>
      </c>
      <c r="D132" s="53">
        <f t="shared" si="4"/>
        <v>225</v>
      </c>
      <c r="E132" s="80"/>
      <c r="F132" s="55">
        <v>46025.0</v>
      </c>
      <c r="G132" s="58" t="b">
        <v>1</v>
      </c>
      <c r="H132" s="60" t="b">
        <v>0</v>
      </c>
      <c r="I132" s="64">
        <f t="shared" si="2"/>
        <v>46206</v>
      </c>
      <c r="J132" s="54" t="s">
        <v>36</v>
      </c>
    </row>
    <row r="133">
      <c r="A133" s="28">
        <v>131.0</v>
      </c>
      <c r="B133" s="42" t="s">
        <v>699</v>
      </c>
      <c r="C133" s="47">
        <v>1150.0</v>
      </c>
      <c r="D133" s="53">
        <f t="shared" si="4"/>
        <v>225</v>
      </c>
      <c r="E133" s="80"/>
      <c r="F133" s="55">
        <v>46026.0</v>
      </c>
      <c r="G133" s="58" t="b">
        <v>1</v>
      </c>
      <c r="H133" s="60" t="b">
        <v>0</v>
      </c>
      <c r="I133" s="64">
        <f t="shared" si="2"/>
        <v>46207</v>
      </c>
      <c r="J133" s="54" t="s">
        <v>36</v>
      </c>
    </row>
    <row r="134">
      <c r="A134" s="28">
        <v>132.0</v>
      </c>
      <c r="B134" s="42" t="s">
        <v>705</v>
      </c>
      <c r="C134" s="47">
        <v>1151.0</v>
      </c>
      <c r="D134" s="53">
        <f t="shared" si="4"/>
        <v>225</v>
      </c>
      <c r="E134" s="80"/>
      <c r="F134" s="55">
        <v>46026.0</v>
      </c>
      <c r="G134" s="58" t="b">
        <v>1</v>
      </c>
      <c r="H134" s="60" t="b">
        <v>1</v>
      </c>
      <c r="I134" s="64">
        <f t="shared" si="2"/>
        <v>46207</v>
      </c>
      <c r="J134" s="54" t="s">
        <v>36</v>
      </c>
    </row>
    <row r="135">
      <c r="A135" s="28">
        <v>133.0</v>
      </c>
      <c r="B135" s="42" t="s">
        <v>711</v>
      </c>
      <c r="C135" s="47">
        <v>1152.0</v>
      </c>
      <c r="D135" s="53">
        <f t="shared" si="4"/>
        <v>225</v>
      </c>
      <c r="E135" s="80"/>
      <c r="F135" s="55">
        <v>46026.0</v>
      </c>
      <c r="G135" s="58" t="b">
        <v>1</v>
      </c>
      <c r="H135" s="60" t="b">
        <v>0</v>
      </c>
      <c r="I135" s="64">
        <f t="shared" si="2"/>
        <v>46207</v>
      </c>
      <c r="J135" s="54" t="s">
        <v>36</v>
      </c>
    </row>
    <row r="136">
      <c r="A136" s="28">
        <v>134.0</v>
      </c>
      <c r="B136" s="42" t="s">
        <v>720</v>
      </c>
      <c r="C136" s="47">
        <v>1153.0</v>
      </c>
      <c r="D136" s="53">
        <f t="shared" si="4"/>
        <v>225</v>
      </c>
      <c r="E136" s="80"/>
      <c r="F136" s="55">
        <v>46026.0</v>
      </c>
      <c r="G136" s="58" t="b">
        <v>1</v>
      </c>
      <c r="H136" s="60" t="b">
        <v>1</v>
      </c>
      <c r="I136" s="64">
        <f t="shared" si="2"/>
        <v>46207</v>
      </c>
      <c r="J136" s="54" t="s">
        <v>36</v>
      </c>
    </row>
    <row r="137">
      <c r="A137" s="28">
        <v>135.0</v>
      </c>
      <c r="B137" s="42" t="s">
        <v>725</v>
      </c>
      <c r="C137" s="47">
        <v>1154.0</v>
      </c>
      <c r="D137" s="53">
        <f t="shared" si="4"/>
        <v>225</v>
      </c>
      <c r="E137" s="80"/>
      <c r="F137" s="55">
        <v>46026.0</v>
      </c>
      <c r="G137" s="58" t="b">
        <v>1</v>
      </c>
      <c r="H137" s="60" t="b">
        <v>0</v>
      </c>
      <c r="I137" s="64">
        <f t="shared" si="2"/>
        <v>46207</v>
      </c>
      <c r="J137" s="54" t="s">
        <v>36</v>
      </c>
    </row>
    <row r="138">
      <c r="A138" s="28">
        <v>136.0</v>
      </c>
      <c r="B138" s="42" t="s">
        <v>725</v>
      </c>
      <c r="C138" s="47">
        <v>1155.0</v>
      </c>
      <c r="D138" s="53">
        <f t="shared" si="4"/>
        <v>225</v>
      </c>
      <c r="E138" s="80"/>
      <c r="F138" s="55">
        <v>46026.0</v>
      </c>
      <c r="G138" s="58" t="b">
        <v>1</v>
      </c>
      <c r="H138" s="60" t="b">
        <v>0</v>
      </c>
      <c r="I138" s="64">
        <f t="shared" si="2"/>
        <v>46207</v>
      </c>
      <c r="J138" s="54" t="s">
        <v>36</v>
      </c>
    </row>
    <row r="139">
      <c r="A139" s="28">
        <v>137.0</v>
      </c>
      <c r="B139" s="42" t="s">
        <v>725</v>
      </c>
      <c r="C139" s="47">
        <v>1156.0</v>
      </c>
      <c r="D139" s="53">
        <f t="shared" si="4"/>
        <v>225</v>
      </c>
      <c r="E139" s="80"/>
      <c r="F139" s="55">
        <v>46026.0</v>
      </c>
      <c r="G139" s="58" t="b">
        <v>1</v>
      </c>
      <c r="H139" s="60" t="b">
        <v>1</v>
      </c>
      <c r="I139" s="64">
        <f t="shared" si="2"/>
        <v>46207</v>
      </c>
      <c r="J139" s="54" t="s">
        <v>36</v>
      </c>
    </row>
    <row r="140">
      <c r="A140" s="28">
        <v>138.0</v>
      </c>
      <c r="B140" s="42" t="s">
        <v>743</v>
      </c>
      <c r="C140" s="47">
        <v>1157.0</v>
      </c>
      <c r="D140" s="53">
        <f t="shared" si="4"/>
        <v>225</v>
      </c>
      <c r="E140" s="80"/>
      <c r="F140" s="55">
        <v>46026.0</v>
      </c>
      <c r="G140" s="58" t="b">
        <v>1</v>
      </c>
      <c r="H140" s="60" t="b">
        <v>1</v>
      </c>
      <c r="I140" s="64">
        <f t="shared" si="2"/>
        <v>46207</v>
      </c>
      <c r="J140" s="54" t="s">
        <v>36</v>
      </c>
    </row>
    <row r="141">
      <c r="A141" s="28">
        <v>139.0</v>
      </c>
      <c r="B141" s="42" t="s">
        <v>749</v>
      </c>
      <c r="C141" s="47">
        <v>1158.0</v>
      </c>
      <c r="D141" s="53">
        <f t="shared" si="4"/>
        <v>225</v>
      </c>
      <c r="E141" s="80"/>
      <c r="F141" s="55">
        <v>46027.0</v>
      </c>
      <c r="G141" s="58" t="b">
        <v>1</v>
      </c>
      <c r="H141" s="60" t="b">
        <v>1</v>
      </c>
      <c r="I141" s="64">
        <f t="shared" si="2"/>
        <v>46208</v>
      </c>
      <c r="J141" s="54" t="s">
        <v>36</v>
      </c>
    </row>
    <row r="142">
      <c r="A142" s="28">
        <v>140.0</v>
      </c>
      <c r="B142" s="42" t="s">
        <v>757</v>
      </c>
      <c r="C142" s="47">
        <v>1159.0</v>
      </c>
      <c r="D142" s="53">
        <f t="shared" si="4"/>
        <v>225</v>
      </c>
      <c r="E142" s="80"/>
      <c r="F142" s="55">
        <v>46027.0</v>
      </c>
      <c r="G142" s="58" t="b">
        <v>1</v>
      </c>
      <c r="H142" s="60" t="b">
        <v>1</v>
      </c>
      <c r="I142" s="64">
        <f t="shared" si="2"/>
        <v>46208</v>
      </c>
      <c r="J142" s="54" t="s">
        <v>36</v>
      </c>
    </row>
    <row r="143">
      <c r="A143" s="28">
        <v>141.0</v>
      </c>
      <c r="B143" s="42" t="s">
        <v>763</v>
      </c>
      <c r="C143" s="47">
        <v>1160.0</v>
      </c>
      <c r="D143" s="53">
        <f t="shared" si="4"/>
        <v>225</v>
      </c>
      <c r="E143" s="80"/>
      <c r="F143" s="55">
        <v>46027.0</v>
      </c>
      <c r="G143" s="58" t="b">
        <v>1</v>
      </c>
      <c r="H143" s="60" t="b">
        <v>1</v>
      </c>
      <c r="I143" s="64">
        <f t="shared" si="2"/>
        <v>46208</v>
      </c>
      <c r="J143" s="54" t="s">
        <v>36</v>
      </c>
    </row>
    <row r="144">
      <c r="A144" s="28">
        <v>142.0</v>
      </c>
      <c r="B144" s="42" t="s">
        <v>782</v>
      </c>
      <c r="C144" s="47">
        <v>1161.0</v>
      </c>
      <c r="D144" s="53">
        <f t="shared" si="4"/>
        <v>225</v>
      </c>
      <c r="E144" s="80"/>
      <c r="F144" s="55">
        <v>46027.0</v>
      </c>
      <c r="G144" s="58" t="b">
        <v>1</v>
      </c>
      <c r="H144" s="60" t="b">
        <v>0</v>
      </c>
      <c r="I144" s="64">
        <f t="shared" si="2"/>
        <v>46208</v>
      </c>
      <c r="J144" s="54" t="s">
        <v>36</v>
      </c>
    </row>
    <row r="145">
      <c r="A145" s="28">
        <v>143.0</v>
      </c>
      <c r="B145" s="42" t="s">
        <v>799</v>
      </c>
      <c r="C145" s="47">
        <v>1162.0</v>
      </c>
      <c r="D145" s="53">
        <f t="shared" si="4"/>
        <v>225</v>
      </c>
      <c r="E145" s="80"/>
      <c r="F145" s="55">
        <v>46027.0</v>
      </c>
      <c r="G145" s="58" t="b">
        <v>1</v>
      </c>
      <c r="H145" s="60" t="b">
        <v>1</v>
      </c>
      <c r="I145" s="64">
        <f t="shared" si="2"/>
        <v>46208</v>
      </c>
      <c r="J145" s="54" t="s">
        <v>36</v>
      </c>
    </row>
    <row r="146">
      <c r="A146" s="28">
        <v>144.0</v>
      </c>
      <c r="B146" s="42" t="s">
        <v>805</v>
      </c>
      <c r="C146" s="47">
        <v>1163.0</v>
      </c>
      <c r="D146" s="53">
        <f t="shared" si="4"/>
        <v>225</v>
      </c>
      <c r="E146" s="80"/>
      <c r="F146" s="55">
        <v>46027.0</v>
      </c>
      <c r="G146" s="58" t="b">
        <v>1</v>
      </c>
      <c r="H146" s="60" t="b">
        <v>0</v>
      </c>
      <c r="I146" s="64">
        <f t="shared" si="2"/>
        <v>46208</v>
      </c>
      <c r="J146" s="54" t="s">
        <v>36</v>
      </c>
    </row>
    <row r="147">
      <c r="A147" s="28">
        <v>145.0</v>
      </c>
      <c r="B147" s="42" t="s">
        <v>810</v>
      </c>
      <c r="C147" s="47">
        <v>1164.0</v>
      </c>
      <c r="D147" s="53">
        <f t="shared" si="4"/>
        <v>225</v>
      </c>
      <c r="E147" s="80"/>
      <c r="F147" s="55">
        <v>46027.0</v>
      </c>
      <c r="G147" s="58" t="b">
        <v>1</v>
      </c>
      <c r="H147" s="60" t="b">
        <v>1</v>
      </c>
      <c r="I147" s="64">
        <f t="shared" si="2"/>
        <v>46208</v>
      </c>
      <c r="J147" s="54" t="s">
        <v>36</v>
      </c>
    </row>
    <row r="148">
      <c r="A148" s="28">
        <v>146.0</v>
      </c>
      <c r="B148" s="42" t="s">
        <v>815</v>
      </c>
      <c r="C148" s="47">
        <v>1165.0</v>
      </c>
      <c r="D148" s="53">
        <f t="shared" si="4"/>
        <v>225</v>
      </c>
      <c r="E148" s="80"/>
      <c r="F148" s="55">
        <v>46027.0</v>
      </c>
      <c r="G148" s="58" t="b">
        <v>1</v>
      </c>
      <c r="H148" s="60" t="b">
        <v>0</v>
      </c>
      <c r="I148" s="64">
        <f t="shared" si="2"/>
        <v>46208</v>
      </c>
      <c r="J148" s="54" t="s">
        <v>36</v>
      </c>
    </row>
    <row r="149">
      <c r="A149" s="28">
        <v>147.0</v>
      </c>
      <c r="B149" s="42" t="s">
        <v>818</v>
      </c>
      <c r="C149" s="47">
        <v>1166.0</v>
      </c>
      <c r="D149" s="53">
        <f t="shared" si="4"/>
        <v>225</v>
      </c>
      <c r="E149" s="80"/>
      <c r="F149" s="55">
        <v>46028.0</v>
      </c>
      <c r="G149" s="58" t="b">
        <v>1</v>
      </c>
      <c r="H149" s="60" t="b">
        <v>1</v>
      </c>
      <c r="I149" s="64">
        <f t="shared" si="2"/>
        <v>46209</v>
      </c>
      <c r="J149" s="54" t="s">
        <v>36</v>
      </c>
    </row>
    <row r="150">
      <c r="A150" s="28">
        <v>148.0</v>
      </c>
      <c r="B150" s="42" t="s">
        <v>822</v>
      </c>
      <c r="C150" s="47">
        <v>1167.0</v>
      </c>
      <c r="D150" s="53">
        <f t="shared" si="4"/>
        <v>225</v>
      </c>
      <c r="E150" s="80"/>
      <c r="F150" s="55">
        <v>46029.0</v>
      </c>
      <c r="G150" s="58" t="b">
        <v>1</v>
      </c>
      <c r="H150" s="60" t="b">
        <v>1</v>
      </c>
      <c r="I150" s="64">
        <f t="shared" si="2"/>
        <v>46210</v>
      </c>
      <c r="J150" s="54" t="s">
        <v>36</v>
      </c>
    </row>
    <row r="151">
      <c r="A151" s="28">
        <v>149.0</v>
      </c>
      <c r="B151" s="42" t="s">
        <v>826</v>
      </c>
      <c r="C151" s="47">
        <v>1168.0</v>
      </c>
      <c r="D151" s="53">
        <f t="shared" si="4"/>
        <v>225</v>
      </c>
      <c r="E151" s="80"/>
      <c r="F151" s="55">
        <v>46029.0</v>
      </c>
      <c r="G151" s="58" t="b">
        <v>1</v>
      </c>
      <c r="H151" s="60" t="b">
        <v>1</v>
      </c>
      <c r="I151" s="64">
        <f t="shared" si="2"/>
        <v>46210</v>
      </c>
      <c r="J151" s="54" t="s">
        <v>36</v>
      </c>
    </row>
    <row r="152">
      <c r="A152" s="28">
        <v>150.0</v>
      </c>
      <c r="B152" s="42" t="s">
        <v>830</v>
      </c>
      <c r="C152" s="47">
        <v>1169.0</v>
      </c>
      <c r="D152" s="53">
        <f t="shared" si="4"/>
        <v>225</v>
      </c>
      <c r="E152" s="80"/>
      <c r="F152" s="55">
        <v>46029.0</v>
      </c>
      <c r="G152" s="58" t="b">
        <v>1</v>
      </c>
      <c r="H152" s="60" t="b">
        <v>1</v>
      </c>
      <c r="I152" s="64">
        <f t="shared" si="2"/>
        <v>46210</v>
      </c>
      <c r="J152" s="54" t="s">
        <v>36</v>
      </c>
    </row>
    <row r="153">
      <c r="A153" s="28">
        <v>151.0</v>
      </c>
      <c r="B153" s="42" t="s">
        <v>836</v>
      </c>
      <c r="C153" s="47">
        <v>1170.0</v>
      </c>
      <c r="D153" s="53">
        <v>450.0</v>
      </c>
      <c r="E153" s="42" t="s">
        <v>837</v>
      </c>
      <c r="F153" s="55">
        <v>46032.0</v>
      </c>
      <c r="G153" s="58" t="b">
        <v>1</v>
      </c>
      <c r="H153" s="60" t="b">
        <v>1</v>
      </c>
      <c r="I153" s="64">
        <f t="shared" si="2"/>
        <v>46213</v>
      </c>
      <c r="J153" s="54" t="s">
        <v>36</v>
      </c>
    </row>
    <row r="154">
      <c r="A154" s="28">
        <v>152.0</v>
      </c>
      <c r="B154" s="42" t="s">
        <v>841</v>
      </c>
      <c r="C154" s="47">
        <v>1171.0</v>
      </c>
      <c r="D154" s="53">
        <f t="shared" ref="D154:D166" si="5">IF(B154="","",225)</f>
        <v>225</v>
      </c>
      <c r="E154" s="80"/>
      <c r="F154" s="55">
        <v>46034.0</v>
      </c>
      <c r="G154" s="58" t="b">
        <v>1</v>
      </c>
      <c r="H154" s="60" t="b">
        <v>0</v>
      </c>
      <c r="I154" s="64">
        <f t="shared" si="2"/>
        <v>46215</v>
      </c>
      <c r="J154" s="54" t="s">
        <v>36</v>
      </c>
    </row>
    <row r="155">
      <c r="A155" s="28">
        <v>153.0</v>
      </c>
      <c r="B155" s="42" t="s">
        <v>851</v>
      </c>
      <c r="C155" s="47">
        <v>1172.0</v>
      </c>
      <c r="D155" s="53">
        <f t="shared" si="5"/>
        <v>225</v>
      </c>
      <c r="E155" s="80"/>
      <c r="F155" s="55">
        <v>46035.0</v>
      </c>
      <c r="G155" s="58" t="b">
        <v>1</v>
      </c>
      <c r="H155" s="60" t="b">
        <v>1</v>
      </c>
      <c r="I155" s="64">
        <f t="shared" si="2"/>
        <v>46216</v>
      </c>
      <c r="J155" s="54" t="s">
        <v>36</v>
      </c>
    </row>
    <row r="156">
      <c r="A156" s="28">
        <v>154.0</v>
      </c>
      <c r="B156" s="42" t="s">
        <v>855</v>
      </c>
      <c r="C156" s="47">
        <v>1173.0</v>
      </c>
      <c r="D156" s="53">
        <f t="shared" si="5"/>
        <v>225</v>
      </c>
      <c r="E156" s="80"/>
      <c r="F156" s="55">
        <v>46035.0</v>
      </c>
      <c r="G156" s="58" t="b">
        <v>1</v>
      </c>
      <c r="H156" s="60" t="b">
        <v>1</v>
      </c>
      <c r="I156" s="64">
        <f t="shared" si="2"/>
        <v>46216</v>
      </c>
      <c r="J156" s="54" t="s">
        <v>36</v>
      </c>
    </row>
    <row r="157">
      <c r="A157" s="28">
        <v>155.0</v>
      </c>
      <c r="B157" s="42" t="s">
        <v>799</v>
      </c>
      <c r="C157" s="47">
        <v>1174.0</v>
      </c>
      <c r="D157" s="53">
        <f t="shared" si="5"/>
        <v>225</v>
      </c>
      <c r="E157" s="80"/>
      <c r="F157" s="55">
        <v>46036.0</v>
      </c>
      <c r="G157" s="58" t="b">
        <v>1</v>
      </c>
      <c r="H157" s="60" t="b">
        <v>0</v>
      </c>
      <c r="I157" s="64">
        <f t="shared" si="2"/>
        <v>46217</v>
      </c>
      <c r="J157" s="54" t="s">
        <v>36</v>
      </c>
    </row>
    <row r="158">
      <c r="A158" s="28">
        <v>156.0</v>
      </c>
      <c r="B158" s="42" t="s">
        <v>860</v>
      </c>
      <c r="C158" s="47">
        <v>1175.0</v>
      </c>
      <c r="D158" s="53">
        <f t="shared" si="5"/>
        <v>225</v>
      </c>
      <c r="E158" s="80"/>
      <c r="F158" s="55">
        <v>46039.0</v>
      </c>
      <c r="G158" s="58" t="b">
        <v>1</v>
      </c>
      <c r="H158" s="60" t="b">
        <v>1</v>
      </c>
      <c r="I158" s="64">
        <f t="shared" si="2"/>
        <v>46220</v>
      </c>
      <c r="J158" s="54" t="s">
        <v>36</v>
      </c>
    </row>
    <row r="159">
      <c r="A159" s="28">
        <v>157.0</v>
      </c>
      <c r="B159" s="42" t="s">
        <v>863</v>
      </c>
      <c r="C159" s="47">
        <v>1176.0</v>
      </c>
      <c r="D159" s="53">
        <f t="shared" si="5"/>
        <v>225</v>
      </c>
      <c r="E159" s="42"/>
      <c r="F159" s="55">
        <v>46039.0</v>
      </c>
      <c r="G159" s="58" t="b">
        <v>1</v>
      </c>
      <c r="H159" s="60" t="b">
        <v>0</v>
      </c>
      <c r="I159" s="64">
        <f t="shared" si="2"/>
        <v>46220</v>
      </c>
      <c r="J159" s="54" t="s">
        <v>36</v>
      </c>
    </row>
    <row r="160">
      <c r="A160" s="28">
        <v>158.0</v>
      </c>
      <c r="B160" s="42" t="s">
        <v>61</v>
      </c>
      <c r="C160" s="47">
        <v>1177.0</v>
      </c>
      <c r="D160" s="53">
        <f t="shared" si="5"/>
        <v>225</v>
      </c>
      <c r="E160" s="80"/>
      <c r="F160" s="55">
        <v>46039.0</v>
      </c>
      <c r="G160" s="58" t="b">
        <v>1</v>
      </c>
      <c r="H160" s="60" t="b">
        <v>0</v>
      </c>
      <c r="I160" s="64">
        <f t="shared" si="2"/>
        <v>46220</v>
      </c>
      <c r="J160" s="54" t="s">
        <v>36</v>
      </c>
    </row>
    <row r="161">
      <c r="A161" s="28">
        <v>159.0</v>
      </c>
      <c r="B161" s="42" t="s">
        <v>867</v>
      </c>
      <c r="C161" s="47">
        <v>1178.0</v>
      </c>
      <c r="D161" s="53">
        <f t="shared" si="5"/>
        <v>225</v>
      </c>
      <c r="E161" s="80"/>
      <c r="F161" s="55">
        <v>46042.0</v>
      </c>
      <c r="G161" s="58" t="b">
        <v>1</v>
      </c>
      <c r="H161" s="60" t="b">
        <v>0</v>
      </c>
      <c r="I161" s="64">
        <f t="shared" si="2"/>
        <v>46223</v>
      </c>
      <c r="J161" s="54" t="s">
        <v>36</v>
      </c>
    </row>
    <row r="162">
      <c r="A162" s="28">
        <v>160.0</v>
      </c>
      <c r="B162" s="42" t="s">
        <v>869</v>
      </c>
      <c r="C162" s="47">
        <v>1179.0</v>
      </c>
      <c r="D162" s="53">
        <f t="shared" si="5"/>
        <v>225</v>
      </c>
      <c r="E162" s="80"/>
      <c r="F162" s="55">
        <v>46043.0</v>
      </c>
      <c r="G162" s="58" t="b">
        <v>1</v>
      </c>
      <c r="H162" s="60" t="b">
        <v>1</v>
      </c>
      <c r="I162" s="64">
        <f t="shared" si="2"/>
        <v>46224</v>
      </c>
      <c r="J162" s="54" t="s">
        <v>36</v>
      </c>
    </row>
    <row r="163">
      <c r="A163" s="28">
        <v>161.0</v>
      </c>
      <c r="B163" s="42" t="s">
        <v>872</v>
      </c>
      <c r="C163" s="47">
        <v>1180.0</v>
      </c>
      <c r="D163" s="53">
        <f t="shared" si="5"/>
        <v>225</v>
      </c>
      <c r="E163" s="80"/>
      <c r="F163" s="55">
        <v>46043.0</v>
      </c>
      <c r="G163" s="58" t="b">
        <v>1</v>
      </c>
      <c r="H163" s="60" t="b">
        <v>1</v>
      </c>
      <c r="I163" s="64">
        <f t="shared" si="2"/>
        <v>46224</v>
      </c>
      <c r="J163" s="54" t="s">
        <v>36</v>
      </c>
    </row>
    <row r="164">
      <c r="A164" s="28">
        <v>162.0</v>
      </c>
      <c r="B164" s="42" t="s">
        <v>874</v>
      </c>
      <c r="C164" s="47">
        <v>1181.0</v>
      </c>
      <c r="D164" s="53">
        <f t="shared" si="5"/>
        <v>225</v>
      </c>
      <c r="E164" s="80"/>
      <c r="F164" s="55">
        <v>46043.0</v>
      </c>
      <c r="G164" s="58" t="b">
        <v>1</v>
      </c>
      <c r="H164" s="60" t="b">
        <v>1</v>
      </c>
      <c r="I164" s="64">
        <f t="shared" si="2"/>
        <v>46224</v>
      </c>
      <c r="J164" s="54" t="s">
        <v>36</v>
      </c>
    </row>
    <row r="165">
      <c r="A165" s="28">
        <v>163.0</v>
      </c>
      <c r="B165" s="42" t="s">
        <v>876</v>
      </c>
      <c r="C165" s="47">
        <v>1182.0</v>
      </c>
      <c r="D165" s="53">
        <f t="shared" si="5"/>
        <v>225</v>
      </c>
      <c r="E165" s="80"/>
      <c r="F165" s="55">
        <v>46044.0</v>
      </c>
      <c r="G165" s="58" t="b">
        <v>1</v>
      </c>
      <c r="H165" s="60" t="b">
        <v>1</v>
      </c>
      <c r="I165" s="64">
        <f t="shared" si="2"/>
        <v>46225</v>
      </c>
      <c r="J165" s="54" t="s">
        <v>36</v>
      </c>
    </row>
    <row r="166">
      <c r="A166" s="28">
        <v>164.0</v>
      </c>
      <c r="B166" s="42" t="s">
        <v>879</v>
      </c>
      <c r="C166" s="47">
        <v>1183.0</v>
      </c>
      <c r="D166" s="53">
        <f t="shared" si="5"/>
        <v>225</v>
      </c>
      <c r="E166" s="80"/>
      <c r="F166" s="55">
        <v>46045.0</v>
      </c>
      <c r="G166" s="58" t="b">
        <v>1</v>
      </c>
      <c r="H166" s="60" t="b">
        <v>1</v>
      </c>
      <c r="I166" s="64">
        <f t="shared" si="2"/>
        <v>46226</v>
      </c>
      <c r="J166" s="54" t="s">
        <v>36</v>
      </c>
    </row>
    <row r="167">
      <c r="A167" s="28">
        <v>165.0</v>
      </c>
      <c r="B167" s="42" t="s">
        <v>880</v>
      </c>
      <c r="C167" s="47">
        <v>1184.0</v>
      </c>
      <c r="D167" s="53">
        <v>450.0</v>
      </c>
      <c r="E167" s="42" t="s">
        <v>883</v>
      </c>
      <c r="F167" s="55">
        <v>46050.0</v>
      </c>
      <c r="G167" s="58" t="b">
        <v>1</v>
      </c>
      <c r="H167" s="60" t="b">
        <v>1</v>
      </c>
      <c r="I167" s="64">
        <f t="shared" si="2"/>
        <v>46231</v>
      </c>
      <c r="J167" s="54" t="s">
        <v>36</v>
      </c>
    </row>
    <row r="168">
      <c r="A168" s="28">
        <v>166.0</v>
      </c>
      <c r="B168" s="42" t="s">
        <v>885</v>
      </c>
      <c r="C168" s="47">
        <v>1185.0</v>
      </c>
      <c r="D168" s="53">
        <v>450.0</v>
      </c>
      <c r="E168" s="80"/>
      <c r="F168" s="55">
        <v>46051.0</v>
      </c>
      <c r="G168" s="58" t="b">
        <v>1</v>
      </c>
      <c r="H168" s="60" t="b">
        <v>1</v>
      </c>
      <c r="I168" s="64">
        <f t="shared" si="2"/>
        <v>46232</v>
      </c>
      <c r="J168" s="54" t="s">
        <v>36</v>
      </c>
    </row>
    <row r="169">
      <c r="A169" s="28">
        <v>167.0</v>
      </c>
      <c r="B169" s="42" t="s">
        <v>887</v>
      </c>
      <c r="C169" s="47">
        <v>1186.0</v>
      </c>
      <c r="D169" s="53">
        <f t="shared" ref="D169:D198" si="6">IF(B169="","",225)</f>
        <v>225</v>
      </c>
      <c r="E169" s="80"/>
      <c r="F169" s="160">
        <v>46052.0</v>
      </c>
      <c r="G169" s="58" t="b">
        <v>1</v>
      </c>
      <c r="H169" s="60" t="b">
        <v>1</v>
      </c>
      <c r="I169" s="65">
        <f t="shared" si="2"/>
        <v>46233</v>
      </c>
      <c r="J169" s="54" t="s">
        <v>36</v>
      </c>
    </row>
    <row r="170">
      <c r="A170" s="28">
        <v>168.0</v>
      </c>
      <c r="B170" s="42" t="s">
        <v>891</v>
      </c>
      <c r="C170" s="47">
        <v>1187.0</v>
      </c>
      <c r="D170" s="53">
        <f t="shared" si="6"/>
        <v>225</v>
      </c>
      <c r="E170" s="80"/>
      <c r="F170" s="160">
        <v>46052.0</v>
      </c>
      <c r="G170" s="58" t="b">
        <v>1</v>
      </c>
      <c r="H170" s="60" t="b">
        <v>1</v>
      </c>
      <c r="I170" s="65">
        <f t="shared" si="2"/>
        <v>46233</v>
      </c>
      <c r="J170" s="54" t="s">
        <v>36</v>
      </c>
    </row>
    <row r="171">
      <c r="A171" s="28">
        <v>169.0</v>
      </c>
      <c r="B171" s="42" t="s">
        <v>893</v>
      </c>
      <c r="C171" s="47">
        <v>1188.0</v>
      </c>
      <c r="D171" s="53">
        <f t="shared" si="6"/>
        <v>225</v>
      </c>
      <c r="E171" s="80"/>
      <c r="F171" s="160">
        <v>46052.0</v>
      </c>
      <c r="G171" s="58" t="b">
        <v>1</v>
      </c>
      <c r="H171" s="60" t="b">
        <v>1</v>
      </c>
      <c r="I171" s="65">
        <f t="shared" si="2"/>
        <v>46233</v>
      </c>
      <c r="J171" s="54" t="s">
        <v>36</v>
      </c>
    </row>
    <row r="172">
      <c r="A172" s="28">
        <v>170.0</v>
      </c>
      <c r="B172" s="42" t="s">
        <v>897</v>
      </c>
      <c r="C172" s="47">
        <v>1189.0</v>
      </c>
      <c r="D172" s="53">
        <f t="shared" si="6"/>
        <v>225</v>
      </c>
      <c r="E172" s="80"/>
      <c r="F172" s="160">
        <v>46054.0</v>
      </c>
      <c r="G172" s="58" t="b">
        <v>1</v>
      </c>
      <c r="H172" s="60" t="b">
        <v>0</v>
      </c>
      <c r="I172" s="65">
        <f t="shared" si="2"/>
        <v>46235</v>
      </c>
      <c r="J172" s="54" t="s">
        <v>36</v>
      </c>
    </row>
    <row r="173">
      <c r="A173" s="28">
        <v>171.0</v>
      </c>
      <c r="B173" s="42" t="s">
        <v>900</v>
      </c>
      <c r="C173" s="47">
        <v>1190.0</v>
      </c>
      <c r="D173" s="53">
        <f t="shared" si="6"/>
        <v>225</v>
      </c>
      <c r="E173" s="80"/>
      <c r="F173" s="160">
        <v>46055.0</v>
      </c>
      <c r="G173" s="58" t="b">
        <v>1</v>
      </c>
      <c r="H173" s="60" t="b">
        <v>1</v>
      </c>
      <c r="I173" s="65">
        <f t="shared" si="2"/>
        <v>46236</v>
      </c>
      <c r="J173" s="54" t="s">
        <v>36</v>
      </c>
    </row>
    <row r="174">
      <c r="A174" s="28">
        <v>172.0</v>
      </c>
      <c r="B174" s="42" t="s">
        <v>902</v>
      </c>
      <c r="C174" s="47">
        <v>1191.0</v>
      </c>
      <c r="D174" s="53">
        <f t="shared" si="6"/>
        <v>225</v>
      </c>
      <c r="E174" s="80"/>
      <c r="F174" s="160">
        <v>46056.0</v>
      </c>
      <c r="G174" s="58" t="b">
        <v>1</v>
      </c>
      <c r="H174" s="60" t="b">
        <v>0</v>
      </c>
      <c r="I174" s="65">
        <f t="shared" si="2"/>
        <v>46237</v>
      </c>
      <c r="J174" s="54" t="s">
        <v>36</v>
      </c>
    </row>
    <row r="175">
      <c r="A175" s="28">
        <v>173.0</v>
      </c>
      <c r="B175" s="42" t="s">
        <v>904</v>
      </c>
      <c r="C175" s="47">
        <v>1192.0</v>
      </c>
      <c r="D175" s="53">
        <f t="shared" si="6"/>
        <v>225</v>
      </c>
      <c r="E175" s="80"/>
      <c r="F175" s="160">
        <v>46059.0</v>
      </c>
      <c r="G175" s="58" t="b">
        <v>1</v>
      </c>
      <c r="H175" s="60" t="b">
        <v>1</v>
      </c>
      <c r="I175" s="65">
        <f t="shared" si="2"/>
        <v>46240</v>
      </c>
      <c r="J175" s="54" t="s">
        <v>36</v>
      </c>
    </row>
    <row r="176">
      <c r="A176" s="28">
        <v>174.0</v>
      </c>
      <c r="B176" s="42" t="s">
        <v>907</v>
      </c>
      <c r="C176" s="47">
        <v>1193.0</v>
      </c>
      <c r="D176" s="53">
        <f t="shared" si="6"/>
        <v>225</v>
      </c>
      <c r="E176" s="80"/>
      <c r="F176" s="160">
        <v>46061.0</v>
      </c>
      <c r="G176" s="58" t="b">
        <v>1</v>
      </c>
      <c r="H176" s="60" t="b">
        <v>1</v>
      </c>
      <c r="I176" s="65">
        <f t="shared" si="2"/>
        <v>46242</v>
      </c>
      <c r="J176" s="54" t="s">
        <v>36</v>
      </c>
    </row>
    <row r="177">
      <c r="A177" s="28">
        <v>175.0</v>
      </c>
      <c r="B177" s="42" t="s">
        <v>909</v>
      </c>
      <c r="C177" s="47">
        <v>1194.0</v>
      </c>
      <c r="D177" s="53">
        <f t="shared" si="6"/>
        <v>225</v>
      </c>
      <c r="E177" s="80"/>
      <c r="F177" s="160">
        <v>46062.0</v>
      </c>
      <c r="G177" s="58" t="b">
        <v>1</v>
      </c>
      <c r="H177" s="60" t="b">
        <v>0</v>
      </c>
      <c r="I177" s="65">
        <f t="shared" si="2"/>
        <v>46243</v>
      </c>
      <c r="J177" s="54" t="s">
        <v>36</v>
      </c>
    </row>
    <row r="178">
      <c r="A178" s="28">
        <v>176.0</v>
      </c>
      <c r="B178" s="42" t="s">
        <v>911</v>
      </c>
      <c r="C178" s="47">
        <v>1195.0</v>
      </c>
      <c r="D178" s="53">
        <f t="shared" si="6"/>
        <v>225</v>
      </c>
      <c r="E178" s="80"/>
      <c r="F178" s="160">
        <v>46064.0</v>
      </c>
      <c r="G178" s="58" t="b">
        <v>1</v>
      </c>
      <c r="H178" s="60" t="b">
        <v>1</v>
      </c>
      <c r="I178" s="65">
        <f t="shared" si="2"/>
        <v>46245</v>
      </c>
      <c r="J178" s="54" t="s">
        <v>36</v>
      </c>
    </row>
    <row r="179">
      <c r="A179" s="28">
        <v>177.0</v>
      </c>
      <c r="B179" s="42" t="s">
        <v>913</v>
      </c>
      <c r="C179" s="47">
        <v>1196.0</v>
      </c>
      <c r="D179" s="53">
        <f t="shared" si="6"/>
        <v>225</v>
      </c>
      <c r="E179" s="80"/>
      <c r="F179" s="160">
        <v>46064.0</v>
      </c>
      <c r="G179" s="58" t="b">
        <v>1</v>
      </c>
      <c r="H179" s="60" t="b">
        <v>1</v>
      </c>
      <c r="I179" s="65">
        <f t="shared" si="2"/>
        <v>46245</v>
      </c>
      <c r="J179" s="54" t="s">
        <v>36</v>
      </c>
    </row>
    <row r="180">
      <c r="A180" s="28">
        <v>178.0</v>
      </c>
      <c r="B180" s="42" t="s">
        <v>915</v>
      </c>
      <c r="C180" s="47">
        <v>1197.0</v>
      </c>
      <c r="D180" s="53">
        <f t="shared" si="6"/>
        <v>225</v>
      </c>
      <c r="E180" s="80"/>
      <c r="F180" s="55">
        <v>46064.0</v>
      </c>
      <c r="G180" s="58" t="b">
        <v>1</v>
      </c>
      <c r="H180" s="60" t="b">
        <v>1</v>
      </c>
      <c r="I180" s="65">
        <f t="shared" si="2"/>
        <v>46245</v>
      </c>
      <c r="J180" s="54" t="s">
        <v>36</v>
      </c>
    </row>
    <row r="181">
      <c r="A181" s="28">
        <v>179.0</v>
      </c>
      <c r="B181" s="42" t="s">
        <v>917</v>
      </c>
      <c r="C181" s="47">
        <v>1198.0</v>
      </c>
      <c r="D181" s="53">
        <f t="shared" si="6"/>
        <v>225</v>
      </c>
      <c r="E181" s="80"/>
      <c r="F181" s="160">
        <v>46066.0</v>
      </c>
      <c r="G181" s="58" t="b">
        <v>1</v>
      </c>
      <c r="H181" s="60" t="b">
        <v>1</v>
      </c>
      <c r="I181" s="65">
        <f t="shared" si="2"/>
        <v>46247</v>
      </c>
      <c r="J181" s="54" t="s">
        <v>36</v>
      </c>
    </row>
    <row r="182">
      <c r="A182" s="28">
        <v>180.0</v>
      </c>
      <c r="B182" s="42" t="s">
        <v>918</v>
      </c>
      <c r="C182" s="47">
        <v>1199.0</v>
      </c>
      <c r="D182" s="53">
        <f t="shared" si="6"/>
        <v>225</v>
      </c>
      <c r="E182" s="80"/>
      <c r="F182" s="160">
        <v>46067.0</v>
      </c>
      <c r="G182" s="58" t="b">
        <v>1</v>
      </c>
      <c r="H182" s="60" t="b">
        <v>1</v>
      </c>
      <c r="I182" s="65">
        <f t="shared" si="2"/>
        <v>46248</v>
      </c>
      <c r="J182" s="54" t="s">
        <v>36</v>
      </c>
    </row>
    <row r="183">
      <c r="A183" s="28">
        <v>181.0</v>
      </c>
      <c r="B183" s="42" t="s">
        <v>920</v>
      </c>
      <c r="C183" s="47">
        <v>1200.0</v>
      </c>
      <c r="D183" s="53">
        <f t="shared" si="6"/>
        <v>225</v>
      </c>
      <c r="E183" s="80"/>
      <c r="F183" s="160">
        <v>46070.0</v>
      </c>
      <c r="G183" s="58" t="b">
        <v>1</v>
      </c>
      <c r="H183" s="60" t="b">
        <v>0</v>
      </c>
      <c r="I183" s="65">
        <f t="shared" si="2"/>
        <v>46251</v>
      </c>
      <c r="J183" s="54" t="s">
        <v>36</v>
      </c>
    </row>
    <row r="184">
      <c r="A184" s="28">
        <v>182.0</v>
      </c>
      <c r="B184" s="42" t="s">
        <v>922</v>
      </c>
      <c r="C184" s="47">
        <v>1201.0</v>
      </c>
      <c r="D184" s="53">
        <f t="shared" si="6"/>
        <v>225</v>
      </c>
      <c r="E184" s="80"/>
      <c r="F184" s="55">
        <v>46071.0</v>
      </c>
      <c r="G184" s="58" t="b">
        <v>1</v>
      </c>
      <c r="H184" s="60" t="b">
        <v>0</v>
      </c>
      <c r="I184" s="65">
        <f t="shared" si="2"/>
        <v>46252</v>
      </c>
      <c r="J184" s="54" t="s">
        <v>36</v>
      </c>
    </row>
    <row r="185">
      <c r="A185" s="28">
        <v>183.0</v>
      </c>
      <c r="B185" s="42" t="s">
        <v>924</v>
      </c>
      <c r="C185" s="47">
        <v>1202.0</v>
      </c>
      <c r="D185" s="53">
        <f t="shared" si="6"/>
        <v>225</v>
      </c>
      <c r="E185" s="80"/>
      <c r="F185" s="55">
        <v>46071.0</v>
      </c>
      <c r="G185" s="58" t="b">
        <v>1</v>
      </c>
      <c r="H185" s="60" t="b">
        <v>1</v>
      </c>
      <c r="I185" s="65">
        <f t="shared" si="2"/>
        <v>46252</v>
      </c>
      <c r="J185" s="54" t="s">
        <v>36</v>
      </c>
    </row>
    <row r="186">
      <c r="A186" s="28">
        <v>184.0</v>
      </c>
      <c r="B186" s="42" t="s">
        <v>926</v>
      </c>
      <c r="C186" s="47">
        <v>1203.0</v>
      </c>
      <c r="D186" s="53">
        <f t="shared" si="6"/>
        <v>225</v>
      </c>
      <c r="E186" s="80"/>
      <c r="F186" s="119">
        <v>46075.0</v>
      </c>
      <c r="G186" s="58" t="b">
        <v>1</v>
      </c>
      <c r="H186" s="60" t="b">
        <v>1</v>
      </c>
      <c r="I186" s="65">
        <f t="shared" si="2"/>
        <v>46256</v>
      </c>
      <c r="J186" s="54" t="s">
        <v>36</v>
      </c>
    </row>
    <row r="187">
      <c r="A187" s="28">
        <v>185.0</v>
      </c>
      <c r="B187" s="42" t="s">
        <v>928</v>
      </c>
      <c r="C187" s="47">
        <v>1204.0</v>
      </c>
      <c r="D187" s="53">
        <f t="shared" si="6"/>
        <v>225</v>
      </c>
      <c r="E187" s="80"/>
      <c r="F187" s="160">
        <v>46076.0</v>
      </c>
      <c r="G187" s="58" t="b">
        <v>1</v>
      </c>
      <c r="H187" s="60" t="b">
        <v>1</v>
      </c>
      <c r="I187" s="65">
        <f t="shared" si="2"/>
        <v>46257</v>
      </c>
      <c r="J187" s="54" t="s">
        <v>36</v>
      </c>
    </row>
    <row r="188">
      <c r="A188" s="28">
        <v>186.0</v>
      </c>
      <c r="B188" s="42" t="s">
        <v>931</v>
      </c>
      <c r="C188" s="47">
        <v>1205.0</v>
      </c>
      <c r="D188" s="53">
        <f t="shared" si="6"/>
        <v>225</v>
      </c>
      <c r="E188" s="80"/>
      <c r="F188" s="160">
        <v>46078.0</v>
      </c>
      <c r="G188" s="58" t="b">
        <v>1</v>
      </c>
      <c r="H188" s="60" t="b">
        <v>0</v>
      </c>
      <c r="I188" s="65">
        <f t="shared" si="2"/>
        <v>46259</v>
      </c>
      <c r="J188" s="158" t="s">
        <v>817</v>
      </c>
    </row>
    <row r="189">
      <c r="A189" s="28">
        <v>187.0</v>
      </c>
      <c r="B189" s="42" t="s">
        <v>934</v>
      </c>
      <c r="C189" s="47">
        <v>1206.0</v>
      </c>
      <c r="D189" s="53">
        <f t="shared" si="6"/>
        <v>225</v>
      </c>
      <c r="E189" s="80"/>
      <c r="F189" s="55">
        <v>46079.0</v>
      </c>
      <c r="G189" s="58" t="b">
        <v>1</v>
      </c>
      <c r="H189" s="60" t="b">
        <v>1</v>
      </c>
      <c r="I189" s="65">
        <f t="shared" si="2"/>
        <v>46260</v>
      </c>
      <c r="J189" s="54" t="s">
        <v>36</v>
      </c>
    </row>
    <row r="190">
      <c r="A190" s="28">
        <v>188.0</v>
      </c>
      <c r="B190" s="42" t="s">
        <v>938</v>
      </c>
      <c r="C190" s="47">
        <v>1207.0</v>
      </c>
      <c r="D190" s="53">
        <f t="shared" si="6"/>
        <v>225</v>
      </c>
      <c r="E190" s="80"/>
      <c r="F190" s="55">
        <v>46080.0</v>
      </c>
      <c r="G190" s="58" t="b">
        <v>1</v>
      </c>
      <c r="H190" s="60" t="b">
        <v>1</v>
      </c>
      <c r="I190" s="65">
        <f t="shared" si="2"/>
        <v>46261</v>
      </c>
      <c r="J190" s="54" t="s">
        <v>36</v>
      </c>
    </row>
    <row r="191">
      <c r="A191" s="28">
        <v>189.0</v>
      </c>
      <c r="B191" s="42" t="s">
        <v>941</v>
      </c>
      <c r="C191" s="47">
        <v>1208.0</v>
      </c>
      <c r="D191" s="53">
        <f t="shared" si="6"/>
        <v>225</v>
      </c>
      <c r="E191" s="80"/>
      <c r="F191" s="55">
        <v>46080.0</v>
      </c>
      <c r="G191" s="58" t="b">
        <v>1</v>
      </c>
      <c r="H191" s="60" t="b">
        <v>0</v>
      </c>
      <c r="I191" s="65">
        <f t="shared" si="2"/>
        <v>46261</v>
      </c>
      <c r="J191" s="158" t="s">
        <v>817</v>
      </c>
    </row>
    <row r="192">
      <c r="A192" s="28">
        <v>190.0</v>
      </c>
      <c r="B192" s="42" t="s">
        <v>944</v>
      </c>
      <c r="C192" s="47">
        <v>1209.0</v>
      </c>
      <c r="D192" s="53">
        <f t="shared" si="6"/>
        <v>225</v>
      </c>
      <c r="E192" s="80"/>
      <c r="F192" s="55">
        <v>46080.0</v>
      </c>
      <c r="G192" s="58" t="b">
        <v>1</v>
      </c>
      <c r="H192" s="60" t="b">
        <v>1</v>
      </c>
      <c r="I192" s="65">
        <f t="shared" si="2"/>
        <v>46261</v>
      </c>
      <c r="J192" s="54" t="s">
        <v>36</v>
      </c>
    </row>
    <row r="193">
      <c r="A193" s="28">
        <v>191.0</v>
      </c>
      <c r="B193" s="42" t="s">
        <v>947</v>
      </c>
      <c r="C193" s="47">
        <v>1210.0</v>
      </c>
      <c r="D193" s="53">
        <f t="shared" si="6"/>
        <v>225</v>
      </c>
      <c r="E193" s="80"/>
      <c r="F193" s="55">
        <v>46081.0</v>
      </c>
      <c r="G193" s="58" t="b">
        <v>1</v>
      </c>
      <c r="H193" s="60" t="b">
        <v>0</v>
      </c>
      <c r="I193" s="65">
        <f t="shared" si="2"/>
        <v>46262</v>
      </c>
      <c r="J193" s="158" t="s">
        <v>817</v>
      </c>
    </row>
    <row r="194">
      <c r="A194" s="28">
        <v>192.0</v>
      </c>
      <c r="B194" s="42" t="s">
        <v>951</v>
      </c>
      <c r="C194" s="47">
        <v>1211.0</v>
      </c>
      <c r="D194" s="53">
        <f t="shared" si="6"/>
        <v>225</v>
      </c>
      <c r="E194" s="80"/>
      <c r="F194" s="55">
        <v>46083.0</v>
      </c>
      <c r="G194" s="58" t="b">
        <v>1</v>
      </c>
      <c r="H194" s="60" t="b">
        <v>0</v>
      </c>
      <c r="I194" s="65">
        <f t="shared" si="2"/>
        <v>46267</v>
      </c>
      <c r="J194" s="158" t="s">
        <v>817</v>
      </c>
    </row>
    <row r="195">
      <c r="A195" s="28">
        <v>193.0</v>
      </c>
      <c r="B195" s="42" t="s">
        <v>956</v>
      </c>
      <c r="C195" s="47">
        <v>1212.0</v>
      </c>
      <c r="D195" s="53">
        <f t="shared" si="6"/>
        <v>225</v>
      </c>
      <c r="E195" s="80"/>
      <c r="F195" s="55">
        <v>46084.0</v>
      </c>
      <c r="G195" s="58" t="b">
        <v>1</v>
      </c>
      <c r="H195" s="60" t="b">
        <v>1</v>
      </c>
      <c r="I195" s="65">
        <f t="shared" si="2"/>
        <v>46268</v>
      </c>
      <c r="J195" s="54" t="s">
        <v>36</v>
      </c>
    </row>
    <row r="196">
      <c r="A196" s="28">
        <v>194.0</v>
      </c>
      <c r="B196" s="42" t="s">
        <v>960</v>
      </c>
      <c r="C196" s="47">
        <v>1213.0</v>
      </c>
      <c r="D196" s="53">
        <f t="shared" si="6"/>
        <v>225</v>
      </c>
      <c r="E196" s="80"/>
      <c r="F196" s="55">
        <v>46085.0</v>
      </c>
      <c r="G196" s="58" t="b">
        <v>1</v>
      </c>
      <c r="H196" s="60" t="b">
        <v>0</v>
      </c>
      <c r="I196" s="65">
        <f t="shared" si="2"/>
        <v>46269</v>
      </c>
      <c r="J196" s="158" t="s">
        <v>817</v>
      </c>
    </row>
    <row r="197">
      <c r="A197" s="28">
        <v>195.0</v>
      </c>
      <c r="B197" s="42" t="s">
        <v>963</v>
      </c>
      <c r="C197" s="47">
        <v>1214.0</v>
      </c>
      <c r="D197" s="53">
        <f t="shared" si="6"/>
        <v>225</v>
      </c>
      <c r="E197" s="80"/>
      <c r="F197" s="55">
        <v>46086.0</v>
      </c>
      <c r="G197" s="58" t="b">
        <v>1</v>
      </c>
      <c r="H197" s="60" t="b">
        <v>1</v>
      </c>
      <c r="I197" s="65">
        <f t="shared" si="2"/>
        <v>46270</v>
      </c>
      <c r="J197" s="54" t="s">
        <v>36</v>
      </c>
    </row>
    <row r="198">
      <c r="A198" s="28">
        <v>196.0</v>
      </c>
      <c r="B198" s="42" t="s">
        <v>966</v>
      </c>
      <c r="C198" s="47">
        <v>1215.0</v>
      </c>
      <c r="D198" s="53">
        <f t="shared" si="6"/>
        <v>225</v>
      </c>
      <c r="E198" s="80"/>
      <c r="F198" s="55">
        <v>46087.0</v>
      </c>
      <c r="G198" s="58" t="b">
        <v>1</v>
      </c>
      <c r="H198" s="60" t="b">
        <v>0</v>
      </c>
      <c r="I198" s="65">
        <f t="shared" si="2"/>
        <v>46271</v>
      </c>
      <c r="J198" s="158" t="s">
        <v>817</v>
      </c>
    </row>
    <row r="199">
      <c r="A199" s="28">
        <v>197.0</v>
      </c>
      <c r="B199" s="42" t="s">
        <v>969</v>
      </c>
      <c r="C199" s="47">
        <v>1216.0</v>
      </c>
      <c r="D199" s="53">
        <v>450.0</v>
      </c>
      <c r="E199" s="42" t="s">
        <v>971</v>
      </c>
      <c r="F199" s="55">
        <v>46090.0</v>
      </c>
      <c r="G199" s="58" t="b">
        <v>1</v>
      </c>
      <c r="H199" s="60" t="b">
        <v>1</v>
      </c>
      <c r="I199" s="65">
        <f t="shared" si="2"/>
        <v>46274</v>
      </c>
      <c r="J199" s="54" t="s">
        <v>36</v>
      </c>
    </row>
    <row r="200">
      <c r="A200" s="28">
        <v>198.0</v>
      </c>
      <c r="B200" s="42" t="s">
        <v>973</v>
      </c>
      <c r="C200" s="47">
        <v>1217.0</v>
      </c>
      <c r="D200" s="53">
        <f t="shared" ref="D200:D256" si="7">IF(B200="","",225)</f>
        <v>225</v>
      </c>
      <c r="E200" s="80"/>
      <c r="F200" s="55">
        <v>46092.0</v>
      </c>
      <c r="G200" s="58" t="b">
        <v>1</v>
      </c>
      <c r="H200" s="60" t="b">
        <v>1</v>
      </c>
      <c r="I200" s="65">
        <f t="shared" si="2"/>
        <v>46276</v>
      </c>
      <c r="J200" s="54" t="s">
        <v>36</v>
      </c>
    </row>
    <row r="201">
      <c r="A201" s="28">
        <v>199.0</v>
      </c>
      <c r="B201" s="42" t="s">
        <v>976</v>
      </c>
      <c r="C201" s="47">
        <v>1218.0</v>
      </c>
      <c r="D201" s="53">
        <f t="shared" si="7"/>
        <v>225</v>
      </c>
      <c r="E201" s="80"/>
      <c r="F201" s="55">
        <v>46094.0</v>
      </c>
      <c r="G201" s="58" t="b">
        <v>1</v>
      </c>
      <c r="H201" s="60" t="b">
        <v>0</v>
      </c>
      <c r="I201" s="65">
        <f t="shared" si="2"/>
        <v>46278</v>
      </c>
      <c r="J201" s="158" t="s">
        <v>817</v>
      </c>
    </row>
    <row r="202">
      <c r="A202" s="28">
        <v>200.0</v>
      </c>
      <c r="B202" s="42" t="s">
        <v>980</v>
      </c>
      <c r="C202" s="47">
        <v>1219.0</v>
      </c>
      <c r="D202" s="53">
        <f t="shared" si="7"/>
        <v>225</v>
      </c>
      <c r="E202" s="80"/>
      <c r="F202" s="55">
        <v>46096.0</v>
      </c>
      <c r="G202" s="58" t="b">
        <v>1</v>
      </c>
      <c r="H202" s="60" t="b">
        <v>0</v>
      </c>
      <c r="I202" s="65">
        <f t="shared" si="2"/>
        <v>46280</v>
      </c>
      <c r="J202" s="158" t="s">
        <v>817</v>
      </c>
    </row>
    <row r="203">
      <c r="A203" s="28">
        <v>201.0</v>
      </c>
      <c r="B203" s="42" t="s">
        <v>983</v>
      </c>
      <c r="C203" s="47">
        <v>1220.0</v>
      </c>
      <c r="D203" s="53">
        <f t="shared" si="7"/>
        <v>225</v>
      </c>
      <c r="E203" s="80"/>
      <c r="F203" s="55">
        <v>46097.0</v>
      </c>
      <c r="G203" s="58" t="b">
        <v>1</v>
      </c>
      <c r="H203" s="60" t="b">
        <v>0</v>
      </c>
      <c r="I203" s="65">
        <f t="shared" si="2"/>
        <v>46281</v>
      </c>
      <c r="J203" s="158" t="s">
        <v>817</v>
      </c>
    </row>
    <row r="204">
      <c r="A204" s="28">
        <v>202.0</v>
      </c>
      <c r="B204" s="42" t="s">
        <v>985</v>
      </c>
      <c r="C204" s="47">
        <v>1221.0</v>
      </c>
      <c r="D204" s="53">
        <f t="shared" si="7"/>
        <v>225</v>
      </c>
      <c r="E204" s="80"/>
      <c r="F204" s="55">
        <v>46098.0</v>
      </c>
      <c r="G204" s="58" t="b">
        <v>1</v>
      </c>
      <c r="H204" s="60" t="b">
        <v>0</v>
      </c>
      <c r="I204" s="65">
        <f t="shared" si="2"/>
        <v>46282</v>
      </c>
      <c r="J204" s="158" t="s">
        <v>817</v>
      </c>
    </row>
    <row r="205">
      <c r="A205" s="28">
        <v>203.0</v>
      </c>
      <c r="B205" s="42" t="s">
        <v>988</v>
      </c>
      <c r="C205" s="47">
        <v>1222.0</v>
      </c>
      <c r="D205" s="53">
        <f t="shared" si="7"/>
        <v>225</v>
      </c>
      <c r="E205" s="80"/>
      <c r="F205" s="55">
        <v>46100.0</v>
      </c>
      <c r="G205" s="58" t="b">
        <v>1</v>
      </c>
      <c r="H205" s="60" t="b">
        <v>1</v>
      </c>
      <c r="I205" s="65">
        <f t="shared" si="2"/>
        <v>46284</v>
      </c>
      <c r="J205" s="54" t="s">
        <v>36</v>
      </c>
    </row>
    <row r="206">
      <c r="A206" s="28">
        <v>204.0</v>
      </c>
      <c r="B206" s="42" t="s">
        <v>990</v>
      </c>
      <c r="C206" s="47">
        <v>1223.0</v>
      </c>
      <c r="D206" s="53">
        <f t="shared" si="7"/>
        <v>225</v>
      </c>
      <c r="E206" s="80"/>
      <c r="F206" s="55">
        <v>46103.0</v>
      </c>
      <c r="G206" s="58" t="b">
        <v>1</v>
      </c>
      <c r="H206" s="60" t="b">
        <v>0</v>
      </c>
      <c r="I206" s="65">
        <f t="shared" si="2"/>
        <v>46287</v>
      </c>
      <c r="J206" s="158" t="s">
        <v>817</v>
      </c>
    </row>
    <row r="207">
      <c r="A207" s="28">
        <v>205.0</v>
      </c>
      <c r="B207" s="42" t="s">
        <v>992</v>
      </c>
      <c r="C207" s="47">
        <v>1224.0</v>
      </c>
      <c r="D207" s="53">
        <f t="shared" si="7"/>
        <v>225</v>
      </c>
      <c r="E207" s="80"/>
      <c r="F207" s="55">
        <v>46104.0</v>
      </c>
      <c r="G207" s="58" t="b">
        <v>1</v>
      </c>
      <c r="H207" s="60" t="b">
        <v>0</v>
      </c>
      <c r="I207" s="65">
        <f t="shared" si="2"/>
        <v>46288</v>
      </c>
      <c r="J207" s="158" t="s">
        <v>817</v>
      </c>
    </row>
    <row r="208">
      <c r="A208" s="28">
        <v>206.0</v>
      </c>
      <c r="B208" s="42" t="s">
        <v>993</v>
      </c>
      <c r="C208" s="47">
        <v>1225.0</v>
      </c>
      <c r="D208" s="53">
        <f t="shared" si="7"/>
        <v>225</v>
      </c>
      <c r="E208" s="80"/>
      <c r="F208" s="55">
        <v>46107.0</v>
      </c>
      <c r="G208" s="58" t="b">
        <v>1</v>
      </c>
      <c r="H208" s="60" t="b">
        <v>0</v>
      </c>
      <c r="I208" s="65">
        <f t="shared" si="2"/>
        <v>46291</v>
      </c>
      <c r="J208" s="158" t="s">
        <v>817</v>
      </c>
    </row>
    <row r="209">
      <c r="A209" s="28">
        <v>207.0</v>
      </c>
      <c r="B209" s="42" t="s">
        <v>995</v>
      </c>
      <c r="C209" s="47">
        <v>1226.0</v>
      </c>
      <c r="D209" s="53">
        <f t="shared" si="7"/>
        <v>225</v>
      </c>
      <c r="E209" s="80"/>
      <c r="F209" s="55">
        <v>46108.0</v>
      </c>
      <c r="G209" s="58" t="b">
        <v>1</v>
      </c>
      <c r="H209" s="60" t="b">
        <v>0</v>
      </c>
      <c r="I209" s="65">
        <f t="shared" si="2"/>
        <v>46292</v>
      </c>
      <c r="J209" s="158" t="s">
        <v>817</v>
      </c>
    </row>
    <row r="210">
      <c r="A210" s="28">
        <v>208.0</v>
      </c>
      <c r="B210" s="42" t="s">
        <v>996</v>
      </c>
      <c r="C210" s="47">
        <v>1227.0</v>
      </c>
      <c r="D210" s="53">
        <f t="shared" si="7"/>
        <v>225</v>
      </c>
      <c r="E210" s="80"/>
      <c r="F210" s="55">
        <v>46109.0</v>
      </c>
      <c r="G210" s="58" t="b">
        <v>1</v>
      </c>
      <c r="H210" s="60" t="b">
        <v>0</v>
      </c>
      <c r="I210" s="65">
        <f t="shared" si="2"/>
        <v>46293</v>
      </c>
      <c r="J210" s="158" t="s">
        <v>817</v>
      </c>
    </row>
    <row r="211">
      <c r="A211" s="28">
        <v>209.0</v>
      </c>
      <c r="B211" s="42" t="s">
        <v>997</v>
      </c>
      <c r="C211" s="47">
        <v>1228.0</v>
      </c>
      <c r="D211" s="53">
        <f t="shared" si="7"/>
        <v>225</v>
      </c>
      <c r="E211" s="80"/>
      <c r="F211" s="160">
        <v>46110.0</v>
      </c>
      <c r="G211" s="58" t="b">
        <v>1</v>
      </c>
      <c r="H211" s="60" t="b">
        <v>0</v>
      </c>
      <c r="I211" s="65">
        <f t="shared" si="2"/>
        <v>46294</v>
      </c>
      <c r="J211" s="158" t="s">
        <v>817</v>
      </c>
    </row>
    <row r="212">
      <c r="A212" s="28">
        <v>210.0</v>
      </c>
      <c r="B212" s="42" t="s">
        <v>999</v>
      </c>
      <c r="C212" s="47">
        <v>1229.0</v>
      </c>
      <c r="D212" s="53">
        <f t="shared" si="7"/>
        <v>225</v>
      </c>
      <c r="E212" s="80"/>
      <c r="F212" s="160">
        <v>46111.0</v>
      </c>
      <c r="G212" s="58" t="b">
        <v>1</v>
      </c>
      <c r="H212" s="60" t="b">
        <v>1</v>
      </c>
      <c r="I212" s="65">
        <f t="shared" si="2"/>
        <v>46295</v>
      </c>
      <c r="J212" s="54" t="s">
        <v>36</v>
      </c>
    </row>
    <row r="213">
      <c r="A213" s="28">
        <v>211.0</v>
      </c>
      <c r="B213" s="42" t="s">
        <v>1001</v>
      </c>
      <c r="C213" s="47">
        <v>1230.0</v>
      </c>
      <c r="D213" s="53">
        <f t="shared" si="7"/>
        <v>225</v>
      </c>
      <c r="E213" s="80"/>
      <c r="F213" s="160">
        <v>46112.0</v>
      </c>
      <c r="G213" s="58" t="b">
        <v>1</v>
      </c>
      <c r="H213" s="60" t="b">
        <v>0</v>
      </c>
      <c r="I213" s="65">
        <f t="shared" si="2"/>
        <v>46295</v>
      </c>
      <c r="J213" s="158" t="s">
        <v>817</v>
      </c>
    </row>
    <row r="214">
      <c r="A214" s="28">
        <v>212.0</v>
      </c>
      <c r="B214" s="42" t="s">
        <v>1004</v>
      </c>
      <c r="C214" s="47">
        <v>1231.0</v>
      </c>
      <c r="D214" s="53">
        <f t="shared" si="7"/>
        <v>225</v>
      </c>
      <c r="E214" s="80"/>
      <c r="F214" s="160">
        <v>46113.0</v>
      </c>
      <c r="G214" s="58" t="b">
        <v>1</v>
      </c>
      <c r="H214" s="60" t="b">
        <v>0</v>
      </c>
      <c r="I214" s="65">
        <f t="shared" si="2"/>
        <v>46296</v>
      </c>
      <c r="J214" s="158" t="s">
        <v>817</v>
      </c>
    </row>
    <row r="215">
      <c r="A215" s="28">
        <v>213.0</v>
      </c>
      <c r="B215" s="42" t="s">
        <v>1007</v>
      </c>
      <c r="C215" s="182">
        <v>1232.0</v>
      </c>
      <c r="D215" s="53">
        <f t="shared" si="7"/>
        <v>225</v>
      </c>
      <c r="E215" s="80"/>
      <c r="F215" s="160">
        <v>46113.0</v>
      </c>
      <c r="G215" s="58" t="b">
        <v>1</v>
      </c>
      <c r="H215" s="60" t="b">
        <v>1</v>
      </c>
      <c r="I215" s="65">
        <f t="shared" si="2"/>
        <v>46296</v>
      </c>
      <c r="J215" s="54" t="s">
        <v>36</v>
      </c>
    </row>
    <row r="216">
      <c r="A216" s="28">
        <v>214.0</v>
      </c>
      <c r="B216" s="42" t="s">
        <v>1011</v>
      </c>
      <c r="C216" s="182">
        <v>1233.0</v>
      </c>
      <c r="D216" s="53">
        <f t="shared" si="7"/>
        <v>225</v>
      </c>
      <c r="E216" s="80"/>
      <c r="F216" s="160">
        <v>46117.0</v>
      </c>
      <c r="G216" s="58" t="b">
        <v>1</v>
      </c>
      <c r="H216" s="60" t="b">
        <v>0</v>
      </c>
      <c r="I216" s="65">
        <f t="shared" si="2"/>
        <v>46300</v>
      </c>
      <c r="J216" s="158" t="s">
        <v>817</v>
      </c>
    </row>
    <row r="217">
      <c r="A217" s="28">
        <v>215.0</v>
      </c>
      <c r="B217" s="42" t="s">
        <v>1013</v>
      </c>
      <c r="C217" s="182">
        <v>1234.0</v>
      </c>
      <c r="D217" s="53">
        <f t="shared" si="7"/>
        <v>225</v>
      </c>
      <c r="E217" s="80"/>
      <c r="F217" s="55">
        <v>46117.0</v>
      </c>
      <c r="G217" s="58" t="b">
        <v>1</v>
      </c>
      <c r="H217" s="60" t="b">
        <v>1</v>
      </c>
      <c r="I217" s="65">
        <f t="shared" si="2"/>
        <v>46300</v>
      </c>
      <c r="J217" s="54" t="s">
        <v>36</v>
      </c>
    </row>
    <row r="218">
      <c r="A218" s="28">
        <v>216.0</v>
      </c>
      <c r="B218" s="42" t="s">
        <v>1015</v>
      </c>
      <c r="C218" s="182">
        <v>1235.0</v>
      </c>
      <c r="D218" s="53">
        <f t="shared" si="7"/>
        <v>225</v>
      </c>
      <c r="E218" s="80"/>
      <c r="F218" s="160">
        <v>46118.0</v>
      </c>
      <c r="G218" s="58" t="b">
        <v>1</v>
      </c>
      <c r="H218" s="60" t="b">
        <v>0</v>
      </c>
      <c r="I218" s="65">
        <f t="shared" si="2"/>
        <v>46301</v>
      </c>
      <c r="J218" s="158" t="s">
        <v>817</v>
      </c>
    </row>
    <row r="219">
      <c r="A219" s="28">
        <v>217.0</v>
      </c>
      <c r="B219" s="42" t="s">
        <v>1016</v>
      </c>
      <c r="C219" s="182">
        <v>1236.0</v>
      </c>
      <c r="D219" s="53">
        <f t="shared" si="7"/>
        <v>225</v>
      </c>
      <c r="E219" s="80"/>
      <c r="F219" s="160">
        <v>46119.0</v>
      </c>
      <c r="G219" s="58" t="b">
        <v>1</v>
      </c>
      <c r="H219" s="60" t="b">
        <v>0</v>
      </c>
      <c r="I219" s="65">
        <f t="shared" si="2"/>
        <v>46302</v>
      </c>
      <c r="J219" s="158" t="s">
        <v>817</v>
      </c>
    </row>
    <row r="220">
      <c r="A220" s="28">
        <v>218.0</v>
      </c>
      <c r="B220" s="42" t="s">
        <v>1019</v>
      </c>
      <c r="C220" s="182">
        <v>1237.0</v>
      </c>
      <c r="D220" s="53">
        <f t="shared" si="7"/>
        <v>225</v>
      </c>
      <c r="E220" s="80"/>
      <c r="F220" s="160">
        <v>46120.0</v>
      </c>
      <c r="G220" s="58" t="b">
        <v>1</v>
      </c>
      <c r="H220" s="60" t="b">
        <v>0</v>
      </c>
      <c r="I220" s="65">
        <f t="shared" si="2"/>
        <v>46303</v>
      </c>
      <c r="J220" s="158" t="s">
        <v>817</v>
      </c>
    </row>
    <row r="221">
      <c r="A221" s="28">
        <v>219.0</v>
      </c>
      <c r="B221" s="42" t="s">
        <v>1022</v>
      </c>
      <c r="C221" s="182">
        <v>1238.0</v>
      </c>
      <c r="D221" s="53">
        <f t="shared" si="7"/>
        <v>225</v>
      </c>
      <c r="E221" s="80"/>
      <c r="F221" s="160">
        <v>46121.0</v>
      </c>
      <c r="G221" s="58" t="b">
        <v>1</v>
      </c>
      <c r="H221" s="60" t="b">
        <v>1</v>
      </c>
      <c r="I221" s="65">
        <f t="shared" si="2"/>
        <v>46304</v>
      </c>
      <c r="J221" s="54" t="s">
        <v>36</v>
      </c>
    </row>
    <row r="222">
      <c r="A222" s="28">
        <v>220.0</v>
      </c>
      <c r="B222" s="42" t="s">
        <v>1024</v>
      </c>
      <c r="C222" s="182">
        <v>1239.0</v>
      </c>
      <c r="D222" s="53">
        <f t="shared" si="7"/>
        <v>225</v>
      </c>
      <c r="E222" s="80"/>
      <c r="F222" s="160">
        <v>46121.0</v>
      </c>
      <c r="G222" s="58" t="b">
        <v>1</v>
      </c>
      <c r="H222" s="60" t="b">
        <v>1</v>
      </c>
      <c r="I222" s="65">
        <f t="shared" si="2"/>
        <v>46304</v>
      </c>
      <c r="J222" s="54" t="s">
        <v>36</v>
      </c>
    </row>
    <row r="223">
      <c r="A223" s="28">
        <v>221.0</v>
      </c>
      <c r="B223" s="42" t="s">
        <v>1026</v>
      </c>
      <c r="C223" s="182">
        <v>1240.0</v>
      </c>
      <c r="D223" s="53">
        <f t="shared" si="7"/>
        <v>225</v>
      </c>
      <c r="E223" s="80"/>
      <c r="F223" s="160">
        <v>46121.0</v>
      </c>
      <c r="G223" s="58" t="b">
        <v>1</v>
      </c>
      <c r="H223" s="60" t="b">
        <v>0</v>
      </c>
      <c r="I223" s="65">
        <f t="shared" si="2"/>
        <v>46304</v>
      </c>
      <c r="J223" s="158" t="s">
        <v>817</v>
      </c>
    </row>
    <row r="224">
      <c r="A224" s="28">
        <v>222.0</v>
      </c>
      <c r="B224" s="42" t="s">
        <v>1029</v>
      </c>
      <c r="C224" s="182">
        <v>1241.0</v>
      </c>
      <c r="D224" s="53">
        <f t="shared" si="7"/>
        <v>225</v>
      </c>
      <c r="E224" s="80"/>
      <c r="F224" s="55">
        <v>46122.0</v>
      </c>
      <c r="G224" s="58" t="b">
        <v>1</v>
      </c>
      <c r="H224" s="60" t="b">
        <v>0</v>
      </c>
      <c r="I224" s="65">
        <f t="shared" si="2"/>
        <v>46305</v>
      </c>
      <c r="J224" s="158" t="s">
        <v>817</v>
      </c>
    </row>
    <row r="225">
      <c r="A225" s="28">
        <v>223.0</v>
      </c>
      <c r="B225" s="42" t="s">
        <v>1032</v>
      </c>
      <c r="C225" s="182">
        <v>1242.0</v>
      </c>
      <c r="D225" s="53">
        <f t="shared" si="7"/>
        <v>225</v>
      </c>
      <c r="E225" s="80"/>
      <c r="F225" s="160">
        <v>46123.0</v>
      </c>
      <c r="G225" s="58" t="b">
        <v>1</v>
      </c>
      <c r="H225" s="60" t="b">
        <v>1</v>
      </c>
      <c r="I225" s="65">
        <f t="shared" si="2"/>
        <v>46306</v>
      </c>
      <c r="J225" s="54" t="s">
        <v>36</v>
      </c>
    </row>
    <row r="226">
      <c r="A226" s="28">
        <v>224.0</v>
      </c>
      <c r="B226" s="42" t="s">
        <v>1036</v>
      </c>
      <c r="C226" s="182">
        <v>1243.0</v>
      </c>
      <c r="D226" s="53">
        <f t="shared" si="7"/>
        <v>225</v>
      </c>
      <c r="E226" s="80"/>
      <c r="F226" s="160">
        <v>46124.0</v>
      </c>
      <c r="G226" s="58" t="b">
        <v>1</v>
      </c>
      <c r="H226" s="60" t="b">
        <v>0</v>
      </c>
      <c r="I226" s="65">
        <f t="shared" si="2"/>
        <v>46307</v>
      </c>
      <c r="J226" s="158" t="s">
        <v>817</v>
      </c>
    </row>
    <row r="227">
      <c r="A227" s="28">
        <v>225.0</v>
      </c>
      <c r="B227" s="42" t="s">
        <v>1039</v>
      </c>
      <c r="C227" s="182">
        <v>1244.0</v>
      </c>
      <c r="D227" s="53">
        <f t="shared" si="7"/>
        <v>225</v>
      </c>
      <c r="E227" s="80"/>
      <c r="F227" s="160">
        <v>46125.0</v>
      </c>
      <c r="G227" s="58" t="b">
        <v>1</v>
      </c>
      <c r="H227" s="60" t="b">
        <v>0</v>
      </c>
      <c r="I227" s="65">
        <f t="shared" si="2"/>
        <v>46308</v>
      </c>
      <c r="J227" s="158" t="s">
        <v>817</v>
      </c>
    </row>
    <row r="228">
      <c r="A228" s="28">
        <v>226.0</v>
      </c>
      <c r="B228" s="42" t="s">
        <v>1042</v>
      </c>
      <c r="C228" s="182">
        <v>1245.0</v>
      </c>
      <c r="D228" s="53">
        <f t="shared" si="7"/>
        <v>225</v>
      </c>
      <c r="E228" s="80"/>
      <c r="F228" s="55">
        <v>46127.0</v>
      </c>
      <c r="G228" s="58" t="b">
        <v>1</v>
      </c>
      <c r="H228" s="60" t="b">
        <v>0</v>
      </c>
      <c r="I228" s="65">
        <f t="shared" si="2"/>
        <v>46310</v>
      </c>
      <c r="J228" s="158" t="s">
        <v>817</v>
      </c>
    </row>
    <row r="229">
      <c r="A229" s="28">
        <v>227.0</v>
      </c>
      <c r="B229" s="42" t="s">
        <v>1045</v>
      </c>
      <c r="C229" s="182">
        <v>1246.0</v>
      </c>
      <c r="D229" s="53">
        <f t="shared" si="7"/>
        <v>225</v>
      </c>
      <c r="E229" s="80"/>
      <c r="F229" s="55">
        <v>46127.0</v>
      </c>
      <c r="G229" s="58" t="b">
        <v>1</v>
      </c>
      <c r="H229" s="60" t="b">
        <v>0</v>
      </c>
      <c r="I229" s="65">
        <f t="shared" si="2"/>
        <v>46310</v>
      </c>
      <c r="J229" s="158" t="s">
        <v>817</v>
      </c>
    </row>
    <row r="230">
      <c r="A230" s="28">
        <v>228.0</v>
      </c>
      <c r="B230" s="42" t="s">
        <v>1048</v>
      </c>
      <c r="C230" s="182">
        <v>1247.0</v>
      </c>
      <c r="D230" s="53">
        <f t="shared" si="7"/>
        <v>225</v>
      </c>
      <c r="E230" s="80"/>
      <c r="F230" s="55">
        <v>46128.0</v>
      </c>
      <c r="G230" s="58" t="b">
        <v>1</v>
      </c>
      <c r="H230" s="60" t="b">
        <v>0</v>
      </c>
      <c r="I230" s="65">
        <f t="shared" si="2"/>
        <v>46311</v>
      </c>
      <c r="J230" s="158" t="s">
        <v>817</v>
      </c>
    </row>
    <row r="231">
      <c r="A231" s="28">
        <v>229.0</v>
      </c>
      <c r="B231" s="42" t="s">
        <v>1051</v>
      </c>
      <c r="C231" s="182">
        <v>1248.0</v>
      </c>
      <c r="D231" s="53">
        <f t="shared" si="7"/>
        <v>225</v>
      </c>
      <c r="E231" s="80"/>
      <c r="F231" s="55">
        <v>46129.0</v>
      </c>
      <c r="G231" s="58" t="b">
        <v>1</v>
      </c>
      <c r="H231" s="60" t="b">
        <v>0</v>
      </c>
      <c r="I231" s="65">
        <f t="shared" si="2"/>
        <v>46312</v>
      </c>
      <c r="J231" s="158" t="s">
        <v>817</v>
      </c>
    </row>
    <row r="232">
      <c r="A232" s="28">
        <v>230.0</v>
      </c>
      <c r="B232" s="42" t="s">
        <v>1054</v>
      </c>
      <c r="C232" s="182">
        <v>1249.0</v>
      </c>
      <c r="D232" s="53">
        <f t="shared" si="7"/>
        <v>225</v>
      </c>
      <c r="E232" s="80"/>
      <c r="F232" s="55">
        <v>46134.0</v>
      </c>
      <c r="G232" s="58" t="b">
        <v>1</v>
      </c>
      <c r="H232" s="60" t="b">
        <v>1</v>
      </c>
      <c r="I232" s="65">
        <f t="shared" si="2"/>
        <v>46317</v>
      </c>
      <c r="J232" s="54" t="s">
        <v>36</v>
      </c>
    </row>
    <row r="233">
      <c r="A233" s="28">
        <v>231.0</v>
      </c>
      <c r="B233" s="42" t="s">
        <v>1057</v>
      </c>
      <c r="C233" s="182">
        <v>1250.0</v>
      </c>
      <c r="D233" s="53">
        <f t="shared" si="7"/>
        <v>225</v>
      </c>
      <c r="E233" s="80"/>
      <c r="F233" s="160">
        <v>46136.0</v>
      </c>
      <c r="G233" s="58" t="b">
        <v>1</v>
      </c>
      <c r="H233" s="60" t="b">
        <v>1</v>
      </c>
      <c r="I233" s="65">
        <f t="shared" si="2"/>
        <v>46319</v>
      </c>
      <c r="J233" s="54" t="s">
        <v>36</v>
      </c>
    </row>
    <row r="234">
      <c r="A234" s="28">
        <v>232.0</v>
      </c>
      <c r="B234" s="42" t="s">
        <v>1059</v>
      </c>
      <c r="C234" s="182">
        <v>1251.0</v>
      </c>
      <c r="D234" s="53">
        <f t="shared" si="7"/>
        <v>225</v>
      </c>
      <c r="E234" s="80"/>
      <c r="F234" s="160">
        <v>46136.0</v>
      </c>
      <c r="G234" s="58" t="b">
        <v>1</v>
      </c>
      <c r="H234" s="60" t="b">
        <v>0</v>
      </c>
      <c r="I234" s="65">
        <f t="shared" si="2"/>
        <v>46319</v>
      </c>
      <c r="J234" s="158" t="s">
        <v>817</v>
      </c>
    </row>
    <row r="235">
      <c r="A235" s="28">
        <v>233.0</v>
      </c>
      <c r="B235" s="42" t="s">
        <v>1060</v>
      </c>
      <c r="C235" s="182">
        <v>1252.0</v>
      </c>
      <c r="D235" s="53">
        <f t="shared" si="7"/>
        <v>225</v>
      </c>
      <c r="E235" s="80"/>
      <c r="F235" s="55">
        <v>46137.0</v>
      </c>
      <c r="G235" s="58" t="b">
        <v>1</v>
      </c>
      <c r="H235" s="60" t="b">
        <v>0</v>
      </c>
      <c r="I235" s="65">
        <f t="shared" si="2"/>
        <v>46320</v>
      </c>
      <c r="J235" s="158" t="s">
        <v>817</v>
      </c>
    </row>
    <row r="236">
      <c r="A236" s="28">
        <v>234.0</v>
      </c>
      <c r="B236" s="42" t="s">
        <v>1062</v>
      </c>
      <c r="C236" s="182">
        <v>1253.0</v>
      </c>
      <c r="D236" s="53">
        <f t="shared" si="7"/>
        <v>225</v>
      </c>
      <c r="E236" s="80"/>
      <c r="F236" s="55">
        <v>46137.0</v>
      </c>
      <c r="G236" s="58" t="b">
        <v>1</v>
      </c>
      <c r="H236" s="60" t="b">
        <v>0</v>
      </c>
      <c r="I236" s="65">
        <f t="shared" si="2"/>
        <v>46320</v>
      </c>
      <c r="J236" s="158" t="s">
        <v>817</v>
      </c>
    </row>
    <row r="237">
      <c r="A237" s="28">
        <v>235.0</v>
      </c>
      <c r="B237" s="42" t="s">
        <v>1063</v>
      </c>
      <c r="C237" s="182">
        <v>1254.0</v>
      </c>
      <c r="D237" s="53">
        <f t="shared" si="7"/>
        <v>225</v>
      </c>
      <c r="E237" s="80"/>
      <c r="F237" s="55">
        <v>46138.0</v>
      </c>
      <c r="G237" s="58" t="b">
        <v>1</v>
      </c>
      <c r="H237" s="60" t="b">
        <v>1</v>
      </c>
      <c r="I237" s="65">
        <f t="shared" si="2"/>
        <v>46321</v>
      </c>
      <c r="J237" s="54" t="s">
        <v>36</v>
      </c>
    </row>
    <row r="238">
      <c r="A238" s="28">
        <v>236.0</v>
      </c>
      <c r="B238" s="42" t="s">
        <v>1064</v>
      </c>
      <c r="C238" s="182">
        <v>1255.0</v>
      </c>
      <c r="D238" s="53">
        <f t="shared" si="7"/>
        <v>225</v>
      </c>
      <c r="E238" s="80"/>
      <c r="F238" s="55">
        <v>46140.0</v>
      </c>
      <c r="G238" s="58" t="b">
        <v>1</v>
      </c>
      <c r="H238" s="60" t="b">
        <v>0</v>
      </c>
      <c r="I238" s="65">
        <f t="shared" si="2"/>
        <v>46323</v>
      </c>
      <c r="J238" s="158" t="s">
        <v>817</v>
      </c>
    </row>
    <row r="239">
      <c r="A239" s="28">
        <v>237.0</v>
      </c>
      <c r="B239" s="42" t="s">
        <v>1066</v>
      </c>
      <c r="C239" s="182">
        <v>1256.0</v>
      </c>
      <c r="D239" s="53">
        <f t="shared" si="7"/>
        <v>225</v>
      </c>
      <c r="E239" s="42" t="s">
        <v>1067</v>
      </c>
      <c r="F239" s="55">
        <v>46151.0</v>
      </c>
      <c r="G239" s="58" t="b">
        <v>1</v>
      </c>
      <c r="H239" s="60" t="b">
        <v>0</v>
      </c>
      <c r="I239" s="65">
        <f t="shared" si="2"/>
        <v>46335</v>
      </c>
      <c r="J239" s="158" t="s">
        <v>817</v>
      </c>
    </row>
    <row r="240">
      <c r="A240" s="28">
        <v>238.0</v>
      </c>
      <c r="B240" s="42" t="s">
        <v>1069</v>
      </c>
      <c r="C240" s="182">
        <v>1257.0</v>
      </c>
      <c r="D240" s="53">
        <f t="shared" si="7"/>
        <v>225</v>
      </c>
      <c r="E240" s="80"/>
      <c r="F240" s="55">
        <v>46141.0</v>
      </c>
      <c r="G240" s="58" t="b">
        <v>1</v>
      </c>
      <c r="H240" s="60" t="b">
        <v>0</v>
      </c>
      <c r="I240" s="65">
        <f t="shared" si="2"/>
        <v>46324</v>
      </c>
      <c r="J240" s="158" t="s">
        <v>817</v>
      </c>
    </row>
    <row r="241">
      <c r="A241" s="28">
        <v>239.0</v>
      </c>
      <c r="B241" s="42" t="s">
        <v>1072</v>
      </c>
      <c r="C241" s="182">
        <v>1258.0</v>
      </c>
      <c r="D241" s="53">
        <f t="shared" si="7"/>
        <v>225</v>
      </c>
      <c r="E241" s="80"/>
      <c r="F241" s="55">
        <v>46141.0</v>
      </c>
      <c r="G241" s="58" t="b">
        <v>1</v>
      </c>
      <c r="H241" s="60" t="b">
        <v>1</v>
      </c>
      <c r="I241" s="65">
        <f t="shared" si="2"/>
        <v>46324</v>
      </c>
      <c r="J241" s="54" t="s">
        <v>36</v>
      </c>
    </row>
    <row r="242">
      <c r="A242" s="28">
        <v>240.0</v>
      </c>
      <c r="B242" s="42" t="s">
        <v>1075</v>
      </c>
      <c r="C242" s="182">
        <v>1259.0</v>
      </c>
      <c r="D242" s="53">
        <f t="shared" si="7"/>
        <v>225</v>
      </c>
      <c r="E242" s="80"/>
      <c r="F242" s="55">
        <v>46142.0</v>
      </c>
      <c r="G242" s="58" t="b">
        <v>1</v>
      </c>
      <c r="H242" s="60" t="b">
        <v>0</v>
      </c>
      <c r="I242" s="65">
        <f t="shared" si="2"/>
        <v>46325</v>
      </c>
      <c r="J242" s="158" t="s">
        <v>817</v>
      </c>
    </row>
    <row r="243">
      <c r="A243" s="28">
        <v>241.0</v>
      </c>
      <c r="B243" s="42" t="s">
        <v>1078</v>
      </c>
      <c r="C243" s="182">
        <v>1260.0</v>
      </c>
      <c r="D243" s="53">
        <f t="shared" si="7"/>
        <v>225</v>
      </c>
      <c r="E243" s="80"/>
      <c r="F243" s="55">
        <v>46143.0</v>
      </c>
      <c r="G243" s="58" t="b">
        <v>1</v>
      </c>
      <c r="H243" s="60" t="b">
        <v>0</v>
      </c>
      <c r="I243" s="65">
        <f t="shared" si="2"/>
        <v>46327</v>
      </c>
      <c r="J243" s="158" t="s">
        <v>817</v>
      </c>
    </row>
    <row r="244">
      <c r="A244" s="28">
        <v>242.0</v>
      </c>
      <c r="B244" s="42" t="s">
        <v>1080</v>
      </c>
      <c r="C244" s="182">
        <v>1261.0</v>
      </c>
      <c r="D244" s="53">
        <f t="shared" si="7"/>
        <v>225</v>
      </c>
      <c r="E244" s="80"/>
      <c r="F244" s="160">
        <v>46143.0</v>
      </c>
      <c r="G244" s="58" t="b">
        <v>1</v>
      </c>
      <c r="H244" s="60" t="b">
        <v>1</v>
      </c>
      <c r="I244" s="65">
        <f t="shared" si="2"/>
        <v>46327</v>
      </c>
      <c r="J244" s="54" t="s">
        <v>36</v>
      </c>
    </row>
    <row r="245">
      <c r="A245" s="28">
        <v>243.0</v>
      </c>
      <c r="B245" s="42" t="s">
        <v>1083</v>
      </c>
      <c r="C245" s="182">
        <v>1262.0</v>
      </c>
      <c r="D245" s="53">
        <f t="shared" si="7"/>
        <v>225</v>
      </c>
      <c r="E245" s="80"/>
      <c r="F245" s="160">
        <v>46144.0</v>
      </c>
      <c r="G245" s="58" t="b">
        <v>1</v>
      </c>
      <c r="H245" s="60" t="b">
        <v>0</v>
      </c>
      <c r="I245" s="65">
        <f t="shared" si="2"/>
        <v>46328</v>
      </c>
      <c r="J245" s="158" t="s">
        <v>817</v>
      </c>
    </row>
    <row r="246">
      <c r="A246" s="28">
        <v>244.0</v>
      </c>
      <c r="B246" s="42" t="s">
        <v>1087</v>
      </c>
      <c r="C246" s="182">
        <v>1263.0</v>
      </c>
      <c r="D246" s="53">
        <f t="shared" si="7"/>
        <v>225</v>
      </c>
      <c r="E246" s="80"/>
      <c r="F246" s="160">
        <v>46144.0</v>
      </c>
      <c r="G246" s="58" t="b">
        <v>1</v>
      </c>
      <c r="H246" s="60" t="b">
        <v>0</v>
      </c>
      <c r="I246" s="65">
        <f t="shared" si="2"/>
        <v>46328</v>
      </c>
      <c r="J246" s="158" t="s">
        <v>817</v>
      </c>
    </row>
    <row r="247">
      <c r="A247" s="28">
        <v>245.0</v>
      </c>
      <c r="B247" s="42" t="s">
        <v>1090</v>
      </c>
      <c r="C247" s="182">
        <v>1264.0</v>
      </c>
      <c r="D247" s="53">
        <f t="shared" si="7"/>
        <v>225</v>
      </c>
      <c r="E247" s="80"/>
      <c r="F247" s="55">
        <v>46145.0</v>
      </c>
      <c r="G247" s="58" t="b">
        <v>1</v>
      </c>
      <c r="H247" s="60" t="b">
        <v>1</v>
      </c>
      <c r="I247" s="65">
        <f t="shared" si="2"/>
        <v>46329</v>
      </c>
      <c r="J247" s="54" t="s">
        <v>36</v>
      </c>
    </row>
    <row r="248">
      <c r="A248" s="28">
        <v>246.0</v>
      </c>
      <c r="B248" s="42" t="s">
        <v>1092</v>
      </c>
      <c r="C248" s="182">
        <v>1265.0</v>
      </c>
      <c r="D248" s="53">
        <f t="shared" si="7"/>
        <v>225</v>
      </c>
      <c r="E248" s="80"/>
      <c r="F248" s="160">
        <v>46146.0</v>
      </c>
      <c r="G248" s="58" t="b">
        <v>1</v>
      </c>
      <c r="H248" s="60" t="b">
        <v>1</v>
      </c>
      <c r="I248" s="65">
        <f t="shared" si="2"/>
        <v>46330</v>
      </c>
      <c r="J248" s="54" t="s">
        <v>36</v>
      </c>
    </row>
    <row r="249">
      <c r="A249" s="28">
        <v>247.0</v>
      </c>
      <c r="B249" s="42" t="s">
        <v>1095</v>
      </c>
      <c r="C249" s="182">
        <v>1266.0</v>
      </c>
      <c r="D249" s="53">
        <f t="shared" si="7"/>
        <v>225</v>
      </c>
      <c r="E249" s="42" t="s">
        <v>1097</v>
      </c>
      <c r="F249" s="160">
        <v>46147.0</v>
      </c>
      <c r="G249" s="58" t="b">
        <v>1</v>
      </c>
      <c r="H249" s="60" t="b">
        <v>0</v>
      </c>
      <c r="I249" s="65">
        <f t="shared" si="2"/>
        <v>46331</v>
      </c>
      <c r="J249" s="158" t="s">
        <v>817</v>
      </c>
    </row>
    <row r="250">
      <c r="A250" s="28">
        <v>248.0</v>
      </c>
      <c r="B250" s="42" t="s">
        <v>1095</v>
      </c>
      <c r="C250" s="182">
        <v>1267.0</v>
      </c>
      <c r="D250" s="53">
        <f t="shared" si="7"/>
        <v>225</v>
      </c>
      <c r="E250" s="42" t="s">
        <v>1097</v>
      </c>
      <c r="F250" s="160">
        <v>46147.0</v>
      </c>
      <c r="G250" s="58" t="b">
        <v>1</v>
      </c>
      <c r="H250" s="60" t="b">
        <v>0</v>
      </c>
      <c r="I250" s="65">
        <f t="shared" si="2"/>
        <v>46331</v>
      </c>
      <c r="J250" s="158" t="s">
        <v>817</v>
      </c>
    </row>
    <row r="251">
      <c r="A251" s="28">
        <v>249.0</v>
      </c>
      <c r="B251" s="42" t="s">
        <v>1102</v>
      </c>
      <c r="C251" s="182">
        <v>1268.0</v>
      </c>
      <c r="D251" s="53">
        <f t="shared" si="7"/>
        <v>225</v>
      </c>
      <c r="E251" s="42"/>
      <c r="F251" s="55">
        <v>46147.0</v>
      </c>
      <c r="G251" s="58" t="b">
        <v>1</v>
      </c>
      <c r="H251" s="60" t="b">
        <v>0</v>
      </c>
      <c r="I251" s="65">
        <f t="shared" si="2"/>
        <v>46331</v>
      </c>
      <c r="J251" s="158" t="s">
        <v>817</v>
      </c>
    </row>
    <row r="252">
      <c r="A252" s="28">
        <v>250.0</v>
      </c>
      <c r="B252" s="42" t="s">
        <v>1105</v>
      </c>
      <c r="C252" s="182">
        <v>1269.0</v>
      </c>
      <c r="D252" s="53">
        <f t="shared" si="7"/>
        <v>225</v>
      </c>
      <c r="E252" s="42"/>
      <c r="F252" s="160">
        <v>46148.0</v>
      </c>
      <c r="G252" s="58" t="b">
        <v>1</v>
      </c>
      <c r="H252" s="60" t="b">
        <v>1</v>
      </c>
      <c r="I252" s="65">
        <f t="shared" si="2"/>
        <v>46332</v>
      </c>
      <c r="J252" s="54" t="s">
        <v>36</v>
      </c>
    </row>
    <row r="253">
      <c r="A253" s="28">
        <v>251.0</v>
      </c>
      <c r="B253" s="42" t="s">
        <v>1108</v>
      </c>
      <c r="C253" s="182">
        <v>1270.0</v>
      </c>
      <c r="D253" s="53">
        <f t="shared" si="7"/>
        <v>225</v>
      </c>
      <c r="E253" s="42"/>
      <c r="F253" s="55">
        <v>46152.0</v>
      </c>
      <c r="G253" s="58" t="b">
        <v>1</v>
      </c>
      <c r="H253" s="60" t="b">
        <v>0</v>
      </c>
      <c r="I253" s="65">
        <f t="shared" si="2"/>
        <v>46336</v>
      </c>
      <c r="J253" s="158" t="s">
        <v>817</v>
      </c>
    </row>
    <row r="254">
      <c r="A254" s="28">
        <v>252.0</v>
      </c>
      <c r="B254" s="42" t="s">
        <v>1111</v>
      </c>
      <c r="C254" s="182">
        <v>1271.0</v>
      </c>
      <c r="D254" s="53">
        <f t="shared" si="7"/>
        <v>225</v>
      </c>
      <c r="E254" s="80"/>
      <c r="F254" s="55">
        <v>46153.0</v>
      </c>
      <c r="G254" s="58" t="b">
        <v>1</v>
      </c>
      <c r="H254" s="60" t="b">
        <v>0</v>
      </c>
      <c r="I254" s="65">
        <f t="shared" si="2"/>
        <v>46337</v>
      </c>
      <c r="J254" s="158" t="s">
        <v>817</v>
      </c>
    </row>
    <row r="255">
      <c r="A255" s="28">
        <v>253.0</v>
      </c>
      <c r="B255" s="42" t="s">
        <v>1114</v>
      </c>
      <c r="C255" s="182">
        <v>1272.0</v>
      </c>
      <c r="D255" s="53">
        <f t="shared" si="7"/>
        <v>225</v>
      </c>
      <c r="E255" s="80"/>
      <c r="F255" s="160">
        <v>46154.0</v>
      </c>
      <c r="G255" s="58" t="b">
        <v>1</v>
      </c>
      <c r="H255" s="60" t="b">
        <v>0</v>
      </c>
      <c r="I255" s="65">
        <f t="shared" si="2"/>
        <v>46338</v>
      </c>
      <c r="J255" s="158" t="s">
        <v>817</v>
      </c>
    </row>
    <row r="256">
      <c r="A256" s="28">
        <v>254.0</v>
      </c>
      <c r="B256" s="42" t="s">
        <v>1117</v>
      </c>
      <c r="C256" s="182">
        <v>1273.0</v>
      </c>
      <c r="D256" s="53">
        <f t="shared" si="7"/>
        <v>225</v>
      </c>
      <c r="E256" s="80"/>
      <c r="F256" s="160">
        <v>46154.0</v>
      </c>
      <c r="G256" s="58" t="b">
        <v>1</v>
      </c>
      <c r="H256" s="60" t="b">
        <v>0</v>
      </c>
      <c r="I256" s="65">
        <f t="shared" si="2"/>
        <v>46338</v>
      </c>
      <c r="J256" s="158" t="s">
        <v>817</v>
      </c>
    </row>
    <row r="257">
      <c r="A257" s="28">
        <v>255.0</v>
      </c>
      <c r="B257" s="42" t="s">
        <v>1120</v>
      </c>
      <c r="C257" s="182">
        <v>1281.0</v>
      </c>
      <c r="D257" s="53">
        <v>225.0</v>
      </c>
      <c r="E257" s="80"/>
      <c r="F257" s="160">
        <v>46157.0</v>
      </c>
      <c r="G257" s="58" t="b">
        <v>1</v>
      </c>
      <c r="H257" s="60" t="b">
        <v>1</v>
      </c>
      <c r="I257" s="65">
        <v>46157.0</v>
      </c>
      <c r="J257" s="54" t="s">
        <v>36</v>
      </c>
    </row>
    <row r="258">
      <c r="A258" s="28">
        <v>256.0</v>
      </c>
      <c r="B258" s="42" t="s">
        <v>1122</v>
      </c>
      <c r="C258" s="182">
        <v>1284.0</v>
      </c>
      <c r="D258" s="53">
        <f t="shared" ref="D258:D276" si="8">IF(B258="","",225)</f>
        <v>225</v>
      </c>
      <c r="E258" s="80"/>
      <c r="F258" s="160">
        <v>46158.0</v>
      </c>
      <c r="G258" s="58" t="b">
        <v>1</v>
      </c>
      <c r="H258" s="60" t="b">
        <v>0</v>
      </c>
      <c r="I258" s="65">
        <f t="shared" ref="I258:I295" si="9">IF(F258="","",EDATE(F258,6))</f>
        <v>46342</v>
      </c>
      <c r="J258" s="158"/>
    </row>
    <row r="259">
      <c r="A259" s="28">
        <v>257.0</v>
      </c>
      <c r="B259" s="42" t="s">
        <v>1130</v>
      </c>
      <c r="C259" s="182">
        <v>1285.0</v>
      </c>
      <c r="D259" s="53">
        <f t="shared" si="8"/>
        <v>225</v>
      </c>
      <c r="E259" s="80"/>
      <c r="F259" s="160">
        <v>46159.0</v>
      </c>
      <c r="G259" s="58" t="b">
        <v>1</v>
      </c>
      <c r="H259" s="60" t="b">
        <v>0</v>
      </c>
      <c r="I259" s="65">
        <f t="shared" si="9"/>
        <v>46343</v>
      </c>
      <c r="J259" s="158" t="s">
        <v>817</v>
      </c>
    </row>
    <row r="260">
      <c r="A260" s="28">
        <v>258.0</v>
      </c>
      <c r="B260" s="42" t="s">
        <v>1133</v>
      </c>
      <c r="C260" s="182">
        <v>1286.0</v>
      </c>
      <c r="D260" s="53">
        <f t="shared" si="8"/>
        <v>225</v>
      </c>
      <c r="E260" s="80"/>
      <c r="F260" s="160">
        <v>46159.0</v>
      </c>
      <c r="G260" s="58" t="b">
        <v>1</v>
      </c>
      <c r="H260" s="60" t="b">
        <v>0</v>
      </c>
      <c r="I260" s="65">
        <f t="shared" si="9"/>
        <v>46343</v>
      </c>
      <c r="J260" s="158" t="s">
        <v>817</v>
      </c>
    </row>
    <row r="261">
      <c r="A261" s="28">
        <v>259.0</v>
      </c>
      <c r="B261" s="42" t="s">
        <v>1137</v>
      </c>
      <c r="C261" s="182">
        <v>1287.0</v>
      </c>
      <c r="D261" s="53">
        <f t="shared" si="8"/>
        <v>225</v>
      </c>
      <c r="E261" s="80"/>
      <c r="F261" s="55">
        <v>46159.0</v>
      </c>
      <c r="G261" s="58" t="b">
        <v>1</v>
      </c>
      <c r="H261" s="60" t="b">
        <v>1</v>
      </c>
      <c r="I261" s="65">
        <f t="shared" si="9"/>
        <v>46343</v>
      </c>
      <c r="J261" s="54" t="s">
        <v>36</v>
      </c>
    </row>
    <row r="262">
      <c r="A262" s="28">
        <v>260.0</v>
      </c>
      <c r="B262" s="42" t="s">
        <v>1141</v>
      </c>
      <c r="C262" s="182">
        <v>1290.0</v>
      </c>
      <c r="D262" s="53">
        <f t="shared" si="8"/>
        <v>225</v>
      </c>
      <c r="E262" s="80"/>
      <c r="F262" s="160">
        <v>46162.0</v>
      </c>
      <c r="G262" s="58" t="b">
        <v>1</v>
      </c>
      <c r="H262" s="60" t="b">
        <v>0</v>
      </c>
      <c r="I262" s="65">
        <f t="shared" si="9"/>
        <v>46346</v>
      </c>
      <c r="J262" s="158" t="s">
        <v>817</v>
      </c>
    </row>
    <row r="263">
      <c r="A263" s="28">
        <v>261.0</v>
      </c>
      <c r="B263" s="42" t="s">
        <v>1145</v>
      </c>
      <c r="C263" s="186">
        <v>1291.0</v>
      </c>
      <c r="D263" s="53">
        <f t="shared" si="8"/>
        <v>225</v>
      </c>
      <c r="E263" s="42" t="s">
        <v>1153</v>
      </c>
      <c r="F263" s="183">
        <v>46163.0</v>
      </c>
      <c r="G263" s="58" t="b">
        <v>1</v>
      </c>
      <c r="H263" s="60" t="b">
        <v>0</v>
      </c>
      <c r="I263" s="65">
        <f t="shared" si="9"/>
        <v>46347</v>
      </c>
      <c r="J263" s="158" t="s">
        <v>817</v>
      </c>
    </row>
    <row r="264">
      <c r="A264" s="28">
        <v>262.0</v>
      </c>
      <c r="B264" s="42" t="s">
        <v>73</v>
      </c>
      <c r="C264" s="182">
        <v>1292.0</v>
      </c>
      <c r="D264" s="53">
        <f t="shared" si="8"/>
        <v>225</v>
      </c>
      <c r="E264" s="80"/>
      <c r="F264" s="160">
        <v>46164.0</v>
      </c>
      <c r="G264" s="58" t="b">
        <v>1</v>
      </c>
      <c r="H264" s="60" t="b">
        <v>0</v>
      </c>
      <c r="I264" s="65">
        <f t="shared" si="9"/>
        <v>46348</v>
      </c>
      <c r="J264" s="158" t="s">
        <v>817</v>
      </c>
    </row>
    <row r="265">
      <c r="A265" s="28">
        <v>263.0</v>
      </c>
      <c r="B265" s="42" t="s">
        <v>1158</v>
      </c>
      <c r="C265" s="182">
        <v>1293.0</v>
      </c>
      <c r="D265" s="53">
        <f t="shared" si="8"/>
        <v>225</v>
      </c>
      <c r="E265" s="42"/>
      <c r="F265" s="160">
        <v>46165.0</v>
      </c>
      <c r="G265" s="58" t="b">
        <v>1</v>
      </c>
      <c r="H265" s="60" t="b">
        <v>1</v>
      </c>
      <c r="I265" s="65">
        <f t="shared" si="9"/>
        <v>46349</v>
      </c>
      <c r="J265" s="54" t="s">
        <v>36</v>
      </c>
    </row>
    <row r="266">
      <c r="A266" s="28">
        <v>264.0</v>
      </c>
      <c r="B266" s="42" t="s">
        <v>1161</v>
      </c>
      <c r="C266" s="182">
        <v>1294.0</v>
      </c>
      <c r="D266" s="53">
        <f t="shared" si="8"/>
        <v>225</v>
      </c>
      <c r="E266" s="80"/>
      <c r="F266" s="160">
        <v>46168.0</v>
      </c>
      <c r="G266" s="58" t="b">
        <v>1</v>
      </c>
      <c r="H266" s="60" t="b">
        <v>0</v>
      </c>
      <c r="I266" s="65">
        <f t="shared" si="9"/>
        <v>46352</v>
      </c>
      <c r="J266" s="158" t="s">
        <v>817</v>
      </c>
    </row>
    <row r="267">
      <c r="A267" s="28">
        <v>265.0</v>
      </c>
      <c r="B267" s="42" t="s">
        <v>1164</v>
      </c>
      <c r="C267" s="182">
        <v>1295.0</v>
      </c>
      <c r="D267" s="53">
        <f t="shared" si="8"/>
        <v>225</v>
      </c>
      <c r="E267" s="80"/>
      <c r="F267" s="55">
        <v>46169.0</v>
      </c>
      <c r="G267" s="58" t="b">
        <v>1</v>
      </c>
      <c r="H267" s="60" t="b">
        <v>0</v>
      </c>
      <c r="I267" s="65">
        <f t="shared" si="9"/>
        <v>46353</v>
      </c>
      <c r="J267" s="158" t="s">
        <v>817</v>
      </c>
    </row>
    <row r="268">
      <c r="A268" s="28">
        <v>266.0</v>
      </c>
      <c r="B268" s="42" t="s">
        <v>1167</v>
      </c>
      <c r="C268" s="182">
        <v>1298.0</v>
      </c>
      <c r="D268" s="53">
        <f t="shared" si="8"/>
        <v>225</v>
      </c>
      <c r="E268" s="80"/>
      <c r="F268" s="160">
        <v>46170.0</v>
      </c>
      <c r="G268" s="58" t="b">
        <v>1</v>
      </c>
      <c r="H268" s="60" t="b">
        <v>0</v>
      </c>
      <c r="I268" s="65">
        <f t="shared" si="9"/>
        <v>46354</v>
      </c>
      <c r="J268" s="158" t="s">
        <v>817</v>
      </c>
    </row>
    <row r="269">
      <c r="A269" s="28">
        <v>267.0</v>
      </c>
      <c r="B269" s="42" t="s">
        <v>1169</v>
      </c>
      <c r="C269" s="182">
        <v>1299.0</v>
      </c>
      <c r="D269" s="53">
        <f t="shared" si="8"/>
        <v>225</v>
      </c>
      <c r="E269" s="80"/>
      <c r="F269" s="160">
        <v>46171.0</v>
      </c>
      <c r="G269" s="58" t="b">
        <v>1</v>
      </c>
      <c r="H269" s="60" t="b">
        <v>1</v>
      </c>
      <c r="I269" s="65">
        <f t="shared" si="9"/>
        <v>46355</v>
      </c>
      <c r="J269" s="54" t="s">
        <v>36</v>
      </c>
    </row>
    <row r="270">
      <c r="A270" s="28">
        <v>268.0</v>
      </c>
      <c r="B270" s="42" t="s">
        <v>1171</v>
      </c>
      <c r="C270" s="182">
        <v>1300.0</v>
      </c>
      <c r="D270" s="53">
        <f t="shared" si="8"/>
        <v>225</v>
      </c>
      <c r="E270" s="80"/>
      <c r="F270" s="160">
        <v>46171.0</v>
      </c>
      <c r="G270" s="58" t="b">
        <v>1</v>
      </c>
      <c r="H270" s="60" t="b">
        <v>0</v>
      </c>
      <c r="I270" s="65">
        <f t="shared" si="9"/>
        <v>46355</v>
      </c>
      <c r="J270" s="158" t="s">
        <v>817</v>
      </c>
    </row>
    <row r="271">
      <c r="A271" s="28">
        <v>269.0</v>
      </c>
      <c r="B271" s="42" t="s">
        <v>1173</v>
      </c>
      <c r="C271" s="182">
        <v>1301.0</v>
      </c>
      <c r="D271" s="53">
        <f t="shared" si="8"/>
        <v>225</v>
      </c>
      <c r="E271" s="80"/>
      <c r="F271" s="55">
        <v>46171.0</v>
      </c>
      <c r="G271" s="58" t="b">
        <v>1</v>
      </c>
      <c r="H271" s="60" t="b">
        <v>0</v>
      </c>
      <c r="I271" s="65">
        <f t="shared" si="9"/>
        <v>46355</v>
      </c>
      <c r="J271" s="158" t="s">
        <v>817</v>
      </c>
    </row>
    <row r="272">
      <c r="A272" s="28">
        <v>270.0</v>
      </c>
      <c r="B272" s="42" t="s">
        <v>1176</v>
      </c>
      <c r="C272" s="182">
        <v>1302.0</v>
      </c>
      <c r="D272" s="53">
        <f t="shared" si="8"/>
        <v>225</v>
      </c>
      <c r="E272" s="80"/>
      <c r="F272" s="184">
        <v>46172.0</v>
      </c>
      <c r="G272" s="58" t="b">
        <v>1</v>
      </c>
      <c r="H272" s="60" t="b">
        <v>0</v>
      </c>
      <c r="I272" s="65">
        <f t="shared" si="9"/>
        <v>46356</v>
      </c>
      <c r="J272" s="158" t="s">
        <v>817</v>
      </c>
    </row>
    <row r="273">
      <c r="A273" s="28">
        <v>271.0</v>
      </c>
      <c r="B273" s="42" t="s">
        <v>1180</v>
      </c>
      <c r="C273" s="182">
        <v>1303.0</v>
      </c>
      <c r="D273" s="53">
        <f t="shared" si="8"/>
        <v>225</v>
      </c>
      <c r="E273" s="80"/>
      <c r="F273" s="184">
        <v>46173.0</v>
      </c>
      <c r="G273" s="58" t="b">
        <v>1</v>
      </c>
      <c r="H273" s="60" t="b">
        <v>0</v>
      </c>
      <c r="I273" s="65">
        <f t="shared" si="9"/>
        <v>46356</v>
      </c>
      <c r="J273" s="158" t="s">
        <v>817</v>
      </c>
    </row>
    <row r="274">
      <c r="A274" s="28">
        <v>272.0</v>
      </c>
      <c r="B274" s="42" t="s">
        <v>1183</v>
      </c>
      <c r="C274" s="182">
        <v>1304.0</v>
      </c>
      <c r="D274" s="53">
        <f t="shared" si="8"/>
        <v>225</v>
      </c>
      <c r="E274" s="80"/>
      <c r="F274" s="55">
        <v>46174.0</v>
      </c>
      <c r="G274" s="58" t="b">
        <v>1</v>
      </c>
      <c r="H274" s="60" t="b">
        <v>1</v>
      </c>
      <c r="I274" s="65">
        <f t="shared" si="9"/>
        <v>46357</v>
      </c>
      <c r="J274" s="54" t="s">
        <v>36</v>
      </c>
    </row>
    <row r="275">
      <c r="A275" s="28">
        <v>273.0</v>
      </c>
      <c r="B275" s="42" t="s">
        <v>1185</v>
      </c>
      <c r="C275" s="182">
        <v>1306.0</v>
      </c>
      <c r="D275" s="53">
        <f t="shared" si="8"/>
        <v>225</v>
      </c>
      <c r="E275" s="80"/>
      <c r="F275" s="160">
        <v>46175.0</v>
      </c>
      <c r="G275" s="58" t="b">
        <v>1</v>
      </c>
      <c r="H275" s="60" t="b">
        <v>1</v>
      </c>
      <c r="I275" s="65">
        <f t="shared" si="9"/>
        <v>46358</v>
      </c>
      <c r="J275" s="54" t="s">
        <v>36</v>
      </c>
    </row>
    <row r="276">
      <c r="A276" s="28">
        <v>274.0</v>
      </c>
      <c r="B276" s="42" t="s">
        <v>1188</v>
      </c>
      <c r="C276" s="182">
        <v>1307.0</v>
      </c>
      <c r="D276" s="53">
        <f t="shared" si="8"/>
        <v>225</v>
      </c>
      <c r="E276" s="80"/>
      <c r="F276" s="160">
        <v>46175.0</v>
      </c>
      <c r="G276" s="58" t="b">
        <v>1</v>
      </c>
      <c r="H276" s="60" t="b">
        <v>1</v>
      </c>
      <c r="I276" s="65">
        <f t="shared" si="9"/>
        <v>46358</v>
      </c>
      <c r="J276" s="54" t="s">
        <v>36</v>
      </c>
    </row>
    <row r="277">
      <c r="A277" s="28">
        <v>275.0</v>
      </c>
      <c r="B277" s="42" t="s">
        <v>1190</v>
      </c>
      <c r="C277" s="182">
        <v>1308.0</v>
      </c>
      <c r="D277" s="53">
        <v>450.0</v>
      </c>
      <c r="E277" s="80"/>
      <c r="F277" s="160">
        <v>46176.0</v>
      </c>
      <c r="G277" s="58" t="b">
        <v>1</v>
      </c>
      <c r="H277" s="60" t="b">
        <v>0</v>
      </c>
      <c r="I277" s="65">
        <f t="shared" si="9"/>
        <v>46359</v>
      </c>
      <c r="J277" s="158" t="s">
        <v>817</v>
      </c>
    </row>
    <row r="278">
      <c r="A278" s="28">
        <v>276.0</v>
      </c>
      <c r="B278" s="42" t="s">
        <v>1193</v>
      </c>
      <c r="C278" s="182">
        <v>1309.0</v>
      </c>
      <c r="D278" s="53">
        <f t="shared" ref="D278:D280" si="10">IF(B278="","",225)</f>
        <v>225</v>
      </c>
      <c r="E278" s="80"/>
      <c r="F278" s="160">
        <v>46177.0</v>
      </c>
      <c r="G278" s="58" t="b">
        <v>1</v>
      </c>
      <c r="H278" s="60" t="b">
        <v>1</v>
      </c>
      <c r="I278" s="65">
        <f t="shared" si="9"/>
        <v>46360</v>
      </c>
      <c r="J278" s="54" t="s">
        <v>36</v>
      </c>
    </row>
    <row r="279">
      <c r="A279" s="28">
        <v>277.0</v>
      </c>
      <c r="B279" s="42" t="s">
        <v>1196</v>
      </c>
      <c r="C279" s="182">
        <v>1310.0</v>
      </c>
      <c r="D279" s="53">
        <f t="shared" si="10"/>
        <v>225</v>
      </c>
      <c r="E279" s="80"/>
      <c r="F279" s="160">
        <v>46177.0</v>
      </c>
      <c r="G279" s="58" t="b">
        <v>1</v>
      </c>
      <c r="H279" s="60" t="b">
        <v>0</v>
      </c>
      <c r="I279" s="65">
        <f t="shared" si="9"/>
        <v>46360</v>
      </c>
      <c r="J279" s="158" t="s">
        <v>817</v>
      </c>
    </row>
    <row r="280">
      <c r="A280" s="28">
        <v>278.0</v>
      </c>
      <c r="B280" s="42" t="s">
        <v>924</v>
      </c>
      <c r="C280" s="182">
        <v>1311.0</v>
      </c>
      <c r="D280" s="53">
        <f t="shared" si="10"/>
        <v>225</v>
      </c>
      <c r="E280" s="80"/>
      <c r="F280" s="160">
        <v>46177.0</v>
      </c>
      <c r="G280" s="58" t="b">
        <v>1</v>
      </c>
      <c r="H280" s="60" t="b">
        <v>0</v>
      </c>
      <c r="I280" s="65">
        <f t="shared" si="9"/>
        <v>46360</v>
      </c>
      <c r="J280" s="158" t="s">
        <v>817</v>
      </c>
    </row>
    <row r="281">
      <c r="A281" s="28">
        <v>279.0</v>
      </c>
      <c r="B281" s="42" t="s">
        <v>1200</v>
      </c>
      <c r="C281" s="182">
        <v>1312.0</v>
      </c>
      <c r="D281" s="53">
        <v>450.0</v>
      </c>
      <c r="E281" s="80"/>
      <c r="F281" s="160">
        <v>46180.0</v>
      </c>
      <c r="G281" s="58" t="b">
        <v>1</v>
      </c>
      <c r="H281" s="60" t="b">
        <v>0</v>
      </c>
      <c r="I281" s="65">
        <f t="shared" si="9"/>
        <v>46363</v>
      </c>
      <c r="J281" s="158" t="s">
        <v>817</v>
      </c>
    </row>
    <row r="282">
      <c r="A282" s="28">
        <v>280.0</v>
      </c>
      <c r="B282" s="42" t="s">
        <v>1202</v>
      </c>
      <c r="C282" s="182">
        <v>1313.0</v>
      </c>
      <c r="D282" s="53">
        <f t="shared" ref="D282:D294" si="11">IF(B282="","",225)</f>
        <v>225</v>
      </c>
      <c r="E282" s="80"/>
      <c r="F282" s="160">
        <v>46181.0</v>
      </c>
      <c r="G282" s="58" t="b">
        <v>1</v>
      </c>
      <c r="H282" s="60" t="b">
        <v>0</v>
      </c>
      <c r="I282" s="65">
        <f t="shared" si="9"/>
        <v>46364</v>
      </c>
      <c r="J282" s="158" t="s">
        <v>817</v>
      </c>
    </row>
    <row r="283">
      <c r="A283" s="28">
        <v>281.0</v>
      </c>
      <c r="B283" s="42" t="s">
        <v>1205</v>
      </c>
      <c r="C283" s="182">
        <v>1314.0</v>
      </c>
      <c r="D283" s="53">
        <f t="shared" si="11"/>
        <v>225</v>
      </c>
      <c r="E283" s="80"/>
      <c r="F283" s="55">
        <v>46181.0</v>
      </c>
      <c r="G283" s="58" t="b">
        <v>1</v>
      </c>
      <c r="H283" s="60" t="b">
        <v>0</v>
      </c>
      <c r="I283" s="65">
        <f t="shared" si="9"/>
        <v>46364</v>
      </c>
      <c r="J283" s="158" t="s">
        <v>817</v>
      </c>
    </row>
    <row r="284">
      <c r="A284" s="28">
        <v>282.0</v>
      </c>
      <c r="B284" s="42" t="s">
        <v>1207</v>
      </c>
      <c r="C284" s="182">
        <v>1315.0</v>
      </c>
      <c r="D284" s="53">
        <f t="shared" si="11"/>
        <v>225</v>
      </c>
      <c r="E284" s="80"/>
      <c r="F284" s="55">
        <v>46183.0</v>
      </c>
      <c r="G284" s="58" t="b">
        <v>1</v>
      </c>
      <c r="H284" s="60" t="b">
        <v>0</v>
      </c>
      <c r="I284" s="65">
        <f t="shared" si="9"/>
        <v>46366</v>
      </c>
      <c r="J284" s="158" t="s">
        <v>817</v>
      </c>
    </row>
    <row r="285">
      <c r="A285" s="28">
        <v>283.0</v>
      </c>
      <c r="B285" s="42" t="s">
        <v>1208</v>
      </c>
      <c r="C285" s="182">
        <v>1316.0</v>
      </c>
      <c r="D285" s="53">
        <f t="shared" si="11"/>
        <v>225</v>
      </c>
      <c r="E285" s="80"/>
      <c r="F285" s="160">
        <v>46183.0</v>
      </c>
      <c r="G285" s="58" t="b">
        <v>1</v>
      </c>
      <c r="H285" s="60" t="b">
        <v>0</v>
      </c>
      <c r="I285" s="65">
        <f t="shared" si="9"/>
        <v>46366</v>
      </c>
      <c r="J285" s="158" t="s">
        <v>817</v>
      </c>
    </row>
    <row r="286">
      <c r="A286" s="28">
        <v>284.0</v>
      </c>
      <c r="B286" s="42" t="s">
        <v>1211</v>
      </c>
      <c r="C286" s="182">
        <v>1317.0</v>
      </c>
      <c r="D286" s="53">
        <f t="shared" si="11"/>
        <v>225</v>
      </c>
      <c r="E286" s="80"/>
      <c r="F286" s="160">
        <v>46185.0</v>
      </c>
      <c r="G286" s="58" t="b">
        <v>1</v>
      </c>
      <c r="H286" s="60" t="b">
        <v>0</v>
      </c>
      <c r="I286" s="65">
        <f t="shared" si="9"/>
        <v>46368</v>
      </c>
      <c r="J286" s="158" t="s">
        <v>817</v>
      </c>
    </row>
    <row r="287">
      <c r="A287" s="28">
        <v>285.0</v>
      </c>
      <c r="B287" s="42" t="s">
        <v>1214</v>
      </c>
      <c r="C287" s="182">
        <v>1318.0</v>
      </c>
      <c r="D287" s="53">
        <f t="shared" si="11"/>
        <v>225</v>
      </c>
      <c r="E287" s="80"/>
      <c r="F287" s="160">
        <v>46186.0</v>
      </c>
      <c r="G287" s="58" t="b">
        <v>1</v>
      </c>
      <c r="H287" s="60" t="b">
        <v>0</v>
      </c>
      <c r="I287" s="65">
        <f t="shared" si="9"/>
        <v>46369</v>
      </c>
      <c r="J287" s="158" t="s">
        <v>817</v>
      </c>
    </row>
    <row r="288">
      <c r="A288" s="28">
        <v>286.0</v>
      </c>
      <c r="B288" s="42" t="s">
        <v>1216</v>
      </c>
      <c r="C288" s="182">
        <v>1319.0</v>
      </c>
      <c r="D288" s="53">
        <f t="shared" si="11"/>
        <v>225</v>
      </c>
      <c r="E288" s="80"/>
      <c r="F288" s="55">
        <v>46186.0</v>
      </c>
      <c r="G288" s="58" t="b">
        <v>1</v>
      </c>
      <c r="H288" s="60" t="b">
        <v>0</v>
      </c>
      <c r="I288" s="65">
        <f t="shared" si="9"/>
        <v>46369</v>
      </c>
      <c r="J288" s="158" t="s">
        <v>817</v>
      </c>
    </row>
    <row r="289">
      <c r="A289" s="28">
        <v>287.0</v>
      </c>
      <c r="B289" s="42" t="s">
        <v>1218</v>
      </c>
      <c r="C289" s="182">
        <v>1320.0</v>
      </c>
      <c r="D289" s="53">
        <f t="shared" si="11"/>
        <v>225</v>
      </c>
      <c r="E289" s="42"/>
      <c r="F289" s="160">
        <v>46187.0</v>
      </c>
      <c r="G289" s="58" t="b">
        <v>1</v>
      </c>
      <c r="H289" s="60" t="b">
        <v>1</v>
      </c>
      <c r="I289" s="65">
        <f t="shared" si="9"/>
        <v>46370</v>
      </c>
      <c r="J289" s="54" t="s">
        <v>36</v>
      </c>
    </row>
    <row r="290">
      <c r="A290" s="28">
        <v>288.0</v>
      </c>
      <c r="B290" s="42" t="s">
        <v>1220</v>
      </c>
      <c r="C290" s="182">
        <v>1321.0</v>
      </c>
      <c r="D290" s="53">
        <f t="shared" si="11"/>
        <v>225</v>
      </c>
      <c r="E290" s="80"/>
      <c r="F290" s="160">
        <v>46187.0</v>
      </c>
      <c r="G290" s="58" t="b">
        <v>1</v>
      </c>
      <c r="H290" s="60" t="b">
        <v>0</v>
      </c>
      <c r="I290" s="65">
        <f t="shared" si="9"/>
        <v>46370</v>
      </c>
      <c r="J290" s="158" t="s">
        <v>817</v>
      </c>
    </row>
    <row r="291">
      <c r="A291" s="28">
        <v>289.0</v>
      </c>
      <c r="B291" s="42" t="s">
        <v>1221</v>
      </c>
      <c r="C291" s="182">
        <v>1322.0</v>
      </c>
      <c r="D291" s="53">
        <f t="shared" si="11"/>
        <v>225</v>
      </c>
      <c r="E291" s="80"/>
      <c r="F291" s="160">
        <v>46189.0</v>
      </c>
      <c r="G291" s="58" t="b">
        <v>1</v>
      </c>
      <c r="H291" s="60" t="b">
        <v>0</v>
      </c>
      <c r="I291" s="65">
        <f t="shared" si="9"/>
        <v>46372</v>
      </c>
      <c r="J291" s="158" t="s">
        <v>817</v>
      </c>
    </row>
    <row r="292">
      <c r="A292" s="28">
        <v>290.0</v>
      </c>
      <c r="B292" s="42" t="s">
        <v>1223</v>
      </c>
      <c r="C292" s="182">
        <v>1323.0</v>
      </c>
      <c r="D292" s="53">
        <f t="shared" si="11"/>
        <v>225</v>
      </c>
      <c r="E292" s="80"/>
      <c r="F292" s="55">
        <v>46190.0</v>
      </c>
      <c r="G292" s="58" t="b">
        <v>1</v>
      </c>
      <c r="H292" s="60" t="b">
        <v>0</v>
      </c>
      <c r="I292" s="65">
        <f t="shared" si="9"/>
        <v>46373</v>
      </c>
      <c r="J292" s="158" t="s">
        <v>817</v>
      </c>
    </row>
    <row r="293">
      <c r="A293" s="28">
        <v>291.0</v>
      </c>
      <c r="B293" s="42" t="s">
        <v>1225</v>
      </c>
      <c r="C293" s="182">
        <v>1324.0</v>
      </c>
      <c r="D293" s="53">
        <f t="shared" si="11"/>
        <v>225</v>
      </c>
      <c r="E293" s="80"/>
      <c r="F293" s="55">
        <v>46190.0</v>
      </c>
      <c r="G293" s="58" t="b">
        <v>1</v>
      </c>
      <c r="H293" s="60" t="b">
        <v>0</v>
      </c>
      <c r="I293" s="65">
        <f t="shared" si="9"/>
        <v>46373</v>
      </c>
      <c r="J293" s="158" t="s">
        <v>817</v>
      </c>
    </row>
    <row r="294">
      <c r="A294" s="28">
        <v>292.0</v>
      </c>
      <c r="B294" s="42" t="s">
        <v>1226</v>
      </c>
      <c r="C294" s="182">
        <v>1325.0</v>
      </c>
      <c r="D294" s="53">
        <f t="shared" si="11"/>
        <v>225</v>
      </c>
      <c r="E294" s="80"/>
      <c r="F294" s="160">
        <v>46191.0</v>
      </c>
      <c r="G294" s="58" t="b">
        <v>1</v>
      </c>
      <c r="H294" s="60" t="b">
        <v>0</v>
      </c>
      <c r="I294" s="65">
        <f t="shared" si="9"/>
        <v>46374</v>
      </c>
      <c r="J294" s="158" t="s">
        <v>817</v>
      </c>
    </row>
    <row r="295">
      <c r="A295" s="28">
        <v>293.0</v>
      </c>
      <c r="B295" s="42" t="s">
        <v>1228</v>
      </c>
      <c r="C295" s="182">
        <v>1326.0</v>
      </c>
      <c r="D295" s="53">
        <v>450.0</v>
      </c>
      <c r="E295" s="80"/>
      <c r="F295" s="55">
        <v>46192.0</v>
      </c>
      <c r="G295" s="58" t="b">
        <v>1</v>
      </c>
      <c r="H295" s="60" t="b">
        <v>1</v>
      </c>
      <c r="I295" s="65">
        <f t="shared" si="9"/>
        <v>46375</v>
      </c>
      <c r="J295" s="54" t="s">
        <v>36</v>
      </c>
    </row>
    <row r="296">
      <c r="A296" s="28">
        <v>294.0</v>
      </c>
      <c r="B296" s="187" t="s">
        <v>1229</v>
      </c>
      <c r="C296" s="188"/>
      <c r="D296" s="189">
        <f>IF(B296="","",225)</f>
        <v>225</v>
      </c>
      <c r="E296" s="190"/>
      <c r="F296" s="191"/>
      <c r="G296" s="192"/>
      <c r="H296" s="192"/>
      <c r="I296" s="193"/>
      <c r="J296" s="194"/>
    </row>
    <row r="297">
      <c r="A297" s="28">
        <v>295.0</v>
      </c>
      <c r="B297" s="42" t="s">
        <v>1239</v>
      </c>
      <c r="C297" s="182">
        <v>1328.0</v>
      </c>
      <c r="D297" s="53">
        <f t="shared" ref="D297:D316" si="12">IF(B297="","",260)</f>
        <v>260</v>
      </c>
      <c r="E297" s="80"/>
      <c r="F297" s="55">
        <v>46197.0</v>
      </c>
      <c r="G297" s="58" t="b">
        <v>1</v>
      </c>
      <c r="H297" s="60" t="b">
        <v>0</v>
      </c>
      <c r="I297" s="65">
        <f t="shared" ref="I297:I320" si="13">IF(F297="","",EDATE(F297,6))</f>
        <v>46380</v>
      </c>
      <c r="J297" s="158" t="s">
        <v>817</v>
      </c>
    </row>
    <row r="298">
      <c r="A298" s="28">
        <v>296.0</v>
      </c>
      <c r="B298" s="42" t="s">
        <v>1249</v>
      </c>
      <c r="C298" s="182">
        <v>1329.0</v>
      </c>
      <c r="D298" s="53">
        <f t="shared" si="12"/>
        <v>260</v>
      </c>
      <c r="E298" s="80"/>
      <c r="F298" s="55">
        <v>46197.0</v>
      </c>
      <c r="G298" s="58" t="b">
        <v>1</v>
      </c>
      <c r="H298" s="60" t="b">
        <v>0</v>
      </c>
      <c r="I298" s="65">
        <f t="shared" si="13"/>
        <v>46380</v>
      </c>
      <c r="J298" s="158" t="s">
        <v>817</v>
      </c>
    </row>
    <row r="299">
      <c r="A299" s="28">
        <v>297.0</v>
      </c>
      <c r="B299" s="42" t="s">
        <v>1252</v>
      </c>
      <c r="C299" s="182">
        <v>1330.0</v>
      </c>
      <c r="D299" s="53">
        <f t="shared" si="12"/>
        <v>260</v>
      </c>
      <c r="E299" s="80"/>
      <c r="F299" s="55">
        <v>46197.0</v>
      </c>
      <c r="G299" s="58" t="b">
        <v>1</v>
      </c>
      <c r="H299" s="60" t="b">
        <v>0</v>
      </c>
      <c r="I299" s="65">
        <f t="shared" si="13"/>
        <v>46380</v>
      </c>
      <c r="J299" s="158" t="s">
        <v>817</v>
      </c>
    </row>
    <row r="300">
      <c r="A300" s="28">
        <v>298.0</v>
      </c>
      <c r="B300" s="42" t="s">
        <v>1254</v>
      </c>
      <c r="C300" s="182">
        <v>1331.0</v>
      </c>
      <c r="D300" s="53">
        <f t="shared" si="12"/>
        <v>260</v>
      </c>
      <c r="E300" s="80"/>
      <c r="F300" s="55">
        <v>46200.0</v>
      </c>
      <c r="G300" s="58" t="b">
        <v>1</v>
      </c>
      <c r="H300" s="60" t="b">
        <v>0</v>
      </c>
      <c r="I300" s="65">
        <f t="shared" si="13"/>
        <v>46383</v>
      </c>
      <c r="J300" s="158" t="s">
        <v>817</v>
      </c>
    </row>
    <row r="301">
      <c r="A301" s="28">
        <v>299.0</v>
      </c>
      <c r="B301" s="42" t="s">
        <v>1256</v>
      </c>
      <c r="C301" s="182">
        <v>1332.0</v>
      </c>
      <c r="D301" s="53">
        <f t="shared" si="12"/>
        <v>260</v>
      </c>
      <c r="E301" s="80"/>
      <c r="F301" s="160">
        <v>46199.0</v>
      </c>
      <c r="G301" s="58" t="b">
        <v>1</v>
      </c>
      <c r="H301" s="60" t="b">
        <v>0</v>
      </c>
      <c r="I301" s="65">
        <f t="shared" si="13"/>
        <v>46382</v>
      </c>
      <c r="J301" s="158" t="s">
        <v>817</v>
      </c>
    </row>
    <row r="302">
      <c r="A302" s="28">
        <v>300.0</v>
      </c>
      <c r="B302" s="42" t="s">
        <v>1259</v>
      </c>
      <c r="C302" s="182">
        <v>1333.0</v>
      </c>
      <c r="D302" s="53">
        <f t="shared" si="12"/>
        <v>260</v>
      </c>
      <c r="E302" s="80"/>
      <c r="F302" s="55">
        <v>46201.0</v>
      </c>
      <c r="G302" s="58" t="b">
        <v>1</v>
      </c>
      <c r="H302" s="60" t="b">
        <v>0</v>
      </c>
      <c r="I302" s="65">
        <f t="shared" si="13"/>
        <v>46384</v>
      </c>
      <c r="J302" s="158" t="s">
        <v>817</v>
      </c>
    </row>
    <row r="303">
      <c r="A303" s="28">
        <v>301.0</v>
      </c>
      <c r="B303" s="42" t="s">
        <v>1261</v>
      </c>
      <c r="C303" s="182">
        <v>1334.0</v>
      </c>
      <c r="D303" s="53">
        <f t="shared" si="12"/>
        <v>260</v>
      </c>
      <c r="E303" s="80"/>
      <c r="F303" s="55">
        <v>46203.0</v>
      </c>
      <c r="G303" s="58" t="b">
        <v>1</v>
      </c>
      <c r="H303" s="60" t="b">
        <v>0</v>
      </c>
      <c r="I303" s="65">
        <f t="shared" si="13"/>
        <v>46386</v>
      </c>
      <c r="J303" s="158" t="s">
        <v>817</v>
      </c>
    </row>
    <row r="304">
      <c r="A304" s="28">
        <v>302.0</v>
      </c>
      <c r="B304" s="42" t="s">
        <v>1263</v>
      </c>
      <c r="C304" s="182">
        <v>1335.0</v>
      </c>
      <c r="D304" s="53">
        <f t="shared" si="12"/>
        <v>260</v>
      </c>
      <c r="E304" s="80"/>
      <c r="F304" s="55">
        <v>46203.0</v>
      </c>
      <c r="G304" s="58" t="b">
        <v>1</v>
      </c>
      <c r="H304" s="60" t="b">
        <v>0</v>
      </c>
      <c r="I304" s="65">
        <f t="shared" si="13"/>
        <v>46386</v>
      </c>
      <c r="J304" s="158" t="s">
        <v>817</v>
      </c>
    </row>
    <row r="305">
      <c r="A305" s="28">
        <v>303.0</v>
      </c>
      <c r="B305" s="42" t="s">
        <v>1266</v>
      </c>
      <c r="C305" s="182">
        <v>1336.0</v>
      </c>
      <c r="D305" s="53">
        <f t="shared" si="12"/>
        <v>260</v>
      </c>
      <c r="E305" s="42"/>
      <c r="F305" s="55">
        <v>46205.0</v>
      </c>
      <c r="G305" s="58" t="b">
        <v>1</v>
      </c>
      <c r="H305" s="60" t="b">
        <v>0</v>
      </c>
      <c r="I305" s="65">
        <f t="shared" si="13"/>
        <v>46389</v>
      </c>
      <c r="J305" s="158" t="s">
        <v>817</v>
      </c>
    </row>
    <row r="306">
      <c r="A306" s="28">
        <v>304.0</v>
      </c>
      <c r="B306" s="42" t="s">
        <v>1267</v>
      </c>
      <c r="C306" s="182">
        <v>1337.0</v>
      </c>
      <c r="D306" s="53">
        <f t="shared" si="12"/>
        <v>260</v>
      </c>
      <c r="E306" s="42" t="s">
        <v>1269</v>
      </c>
      <c r="F306" s="55">
        <v>46205.0</v>
      </c>
      <c r="G306" s="58"/>
      <c r="H306" s="60" t="b">
        <v>1</v>
      </c>
      <c r="I306" s="65">
        <f t="shared" si="13"/>
        <v>46389</v>
      </c>
      <c r="J306" s="54" t="s">
        <v>36</v>
      </c>
    </row>
    <row r="307">
      <c r="A307" s="28">
        <v>305.0</v>
      </c>
      <c r="B307" s="6" t="s">
        <v>1270</v>
      </c>
      <c r="C307" s="182">
        <v>1338.0</v>
      </c>
      <c r="D307" s="53">
        <f t="shared" si="12"/>
        <v>260</v>
      </c>
      <c r="E307" s="42"/>
      <c r="F307" s="55">
        <v>46206.0</v>
      </c>
      <c r="G307" s="58" t="b">
        <v>1</v>
      </c>
      <c r="H307" s="60" t="b">
        <v>0</v>
      </c>
      <c r="I307" s="65">
        <f t="shared" si="13"/>
        <v>46390</v>
      </c>
      <c r="J307" s="158" t="s">
        <v>817</v>
      </c>
    </row>
    <row r="308">
      <c r="A308" s="28">
        <v>306.0</v>
      </c>
      <c r="B308" s="6" t="s">
        <v>1272</v>
      </c>
      <c r="C308" s="182">
        <v>1339.0</v>
      </c>
      <c r="D308" s="53">
        <f t="shared" si="12"/>
        <v>260</v>
      </c>
      <c r="E308" s="80"/>
      <c r="F308" s="160">
        <v>46208.0</v>
      </c>
      <c r="G308" s="58" t="b">
        <v>1</v>
      </c>
      <c r="H308" s="60" t="b">
        <v>0</v>
      </c>
      <c r="I308" s="65">
        <f t="shared" si="13"/>
        <v>46392</v>
      </c>
      <c r="J308" s="158" t="s">
        <v>817</v>
      </c>
    </row>
    <row r="309">
      <c r="A309" s="28">
        <v>307.0</v>
      </c>
      <c r="B309" s="6" t="s">
        <v>1273</v>
      </c>
      <c r="C309" s="182">
        <v>1340.0</v>
      </c>
      <c r="D309" s="53">
        <f t="shared" si="12"/>
        <v>260</v>
      </c>
      <c r="E309" s="80"/>
      <c r="F309" s="160">
        <v>46208.0</v>
      </c>
      <c r="G309" s="58" t="b">
        <v>1</v>
      </c>
      <c r="H309" s="60" t="b">
        <v>0</v>
      </c>
      <c r="I309" s="65">
        <f t="shared" si="13"/>
        <v>46392</v>
      </c>
      <c r="J309" s="158" t="s">
        <v>817</v>
      </c>
    </row>
    <row r="310">
      <c r="A310" s="28">
        <v>308.0</v>
      </c>
      <c r="B310" s="42" t="s">
        <v>1276</v>
      </c>
      <c r="C310" s="182">
        <v>1341.0</v>
      </c>
      <c r="D310" s="53">
        <f t="shared" si="12"/>
        <v>260</v>
      </c>
      <c r="E310" s="80"/>
      <c r="F310" s="55">
        <v>46209.0</v>
      </c>
      <c r="G310" s="58" t="b">
        <v>1</v>
      </c>
      <c r="H310" s="60" t="b">
        <v>0</v>
      </c>
      <c r="I310" s="65">
        <f t="shared" si="13"/>
        <v>46393</v>
      </c>
      <c r="J310" s="158" t="s">
        <v>817</v>
      </c>
    </row>
    <row r="311">
      <c r="A311" s="28">
        <v>309.0</v>
      </c>
      <c r="B311" s="42" t="s">
        <v>1277</v>
      </c>
      <c r="C311" s="182">
        <v>1342.0</v>
      </c>
      <c r="D311" s="53">
        <f t="shared" si="12"/>
        <v>260</v>
      </c>
      <c r="E311" s="80"/>
      <c r="F311" s="55">
        <v>46210.0</v>
      </c>
      <c r="G311" s="58" t="b">
        <v>1</v>
      </c>
      <c r="H311" s="60" t="b">
        <v>1</v>
      </c>
      <c r="I311" s="65">
        <f t="shared" si="13"/>
        <v>46394</v>
      </c>
      <c r="J311" s="54" t="s">
        <v>36</v>
      </c>
    </row>
    <row r="312">
      <c r="A312" s="28">
        <v>310.0</v>
      </c>
      <c r="B312" s="42" t="s">
        <v>1279</v>
      </c>
      <c r="C312" s="182">
        <v>1343.0</v>
      </c>
      <c r="D312" s="53">
        <f t="shared" si="12"/>
        <v>260</v>
      </c>
      <c r="E312" s="80"/>
      <c r="F312" s="55">
        <v>46210.0</v>
      </c>
      <c r="G312" s="58" t="b">
        <v>1</v>
      </c>
      <c r="H312" s="60" t="b">
        <v>0</v>
      </c>
      <c r="I312" s="65">
        <f t="shared" si="13"/>
        <v>46394</v>
      </c>
      <c r="J312" s="158" t="s">
        <v>817</v>
      </c>
    </row>
    <row r="313">
      <c r="A313" s="28">
        <v>311.0</v>
      </c>
      <c r="B313" s="6" t="s">
        <v>1281</v>
      </c>
      <c r="C313" s="182">
        <v>1344.0</v>
      </c>
      <c r="D313" s="53">
        <f t="shared" si="12"/>
        <v>260</v>
      </c>
      <c r="E313" s="42"/>
      <c r="F313" s="55">
        <v>46211.0</v>
      </c>
      <c r="G313" s="58" t="b">
        <v>1</v>
      </c>
      <c r="H313" s="60" t="b">
        <v>0</v>
      </c>
      <c r="I313" s="65">
        <f t="shared" si="13"/>
        <v>46395</v>
      </c>
      <c r="J313" s="158" t="s">
        <v>817</v>
      </c>
    </row>
    <row r="314">
      <c r="A314" s="28">
        <v>312.0</v>
      </c>
      <c r="B314" s="6" t="s">
        <v>1283</v>
      </c>
      <c r="C314" s="182">
        <v>1345.0</v>
      </c>
      <c r="D314" s="53">
        <f t="shared" si="12"/>
        <v>260</v>
      </c>
      <c r="E314" s="80"/>
      <c r="F314" s="55">
        <v>46212.0</v>
      </c>
      <c r="G314" s="58" t="b">
        <v>1</v>
      </c>
      <c r="H314" s="60" t="b">
        <v>0</v>
      </c>
      <c r="I314" s="65">
        <f t="shared" si="13"/>
        <v>46396</v>
      </c>
      <c r="J314" s="158" t="s">
        <v>817</v>
      </c>
    </row>
    <row r="315">
      <c r="A315" s="28">
        <v>313.0</v>
      </c>
      <c r="B315" s="6" t="s">
        <v>1285</v>
      </c>
      <c r="C315" s="182">
        <v>1346.0</v>
      </c>
      <c r="D315" s="53">
        <f t="shared" si="12"/>
        <v>260</v>
      </c>
      <c r="E315" s="80"/>
      <c r="F315" s="160">
        <v>46215.0</v>
      </c>
      <c r="G315" s="58" t="b">
        <v>1</v>
      </c>
      <c r="H315" s="60" t="b">
        <v>0</v>
      </c>
      <c r="I315" s="65">
        <f t="shared" si="13"/>
        <v>46399</v>
      </c>
      <c r="J315" s="158" t="s">
        <v>817</v>
      </c>
    </row>
    <row r="316">
      <c r="A316" s="28">
        <v>314.0</v>
      </c>
      <c r="B316" s="42" t="s">
        <v>1195</v>
      </c>
      <c r="C316" s="182">
        <v>1347.0</v>
      </c>
      <c r="D316" s="53">
        <f t="shared" si="12"/>
        <v>260</v>
      </c>
      <c r="E316" s="80"/>
      <c r="F316" s="160">
        <v>46217.0</v>
      </c>
      <c r="G316" s="58" t="b">
        <v>1</v>
      </c>
      <c r="H316" s="60" t="b">
        <v>0</v>
      </c>
      <c r="I316" s="65">
        <f t="shared" si="13"/>
        <v>46401</v>
      </c>
      <c r="J316" s="158" t="s">
        <v>817</v>
      </c>
    </row>
    <row r="317">
      <c r="A317" s="28">
        <v>315.0</v>
      </c>
      <c r="B317" s="42" t="s">
        <v>1287</v>
      </c>
      <c r="C317" s="182">
        <v>1348.0</v>
      </c>
      <c r="D317" s="53">
        <v>780.0</v>
      </c>
      <c r="E317" s="42" t="s">
        <v>1288</v>
      </c>
      <c r="F317" s="160">
        <v>46217.0</v>
      </c>
      <c r="G317" s="58" t="b">
        <v>1</v>
      </c>
      <c r="H317" s="60" t="b">
        <v>0</v>
      </c>
      <c r="I317" s="65">
        <f t="shared" si="13"/>
        <v>46401</v>
      </c>
      <c r="J317" s="158" t="s">
        <v>817</v>
      </c>
    </row>
    <row r="318">
      <c r="A318" s="28">
        <v>316.0</v>
      </c>
      <c r="B318" s="42" t="s">
        <v>1289</v>
      </c>
      <c r="C318" s="182">
        <v>1349.0</v>
      </c>
      <c r="D318" s="53">
        <f t="shared" ref="D318:D320" si="14">IF(B318="","",260)</f>
        <v>260</v>
      </c>
      <c r="E318" s="80"/>
      <c r="F318" s="160">
        <v>46217.0</v>
      </c>
      <c r="G318" s="58" t="b">
        <v>1</v>
      </c>
      <c r="H318" s="60" t="b">
        <v>0</v>
      </c>
      <c r="I318" s="65">
        <f t="shared" si="13"/>
        <v>46401</v>
      </c>
      <c r="J318" s="158" t="s">
        <v>817</v>
      </c>
    </row>
    <row r="319">
      <c r="A319" s="28">
        <v>317.0</v>
      </c>
      <c r="B319" s="42" t="s">
        <v>1293</v>
      </c>
      <c r="C319" s="182">
        <v>1350.0</v>
      </c>
      <c r="D319" s="53">
        <f t="shared" si="14"/>
        <v>260</v>
      </c>
      <c r="E319" s="80"/>
      <c r="F319" s="55">
        <v>46218.0</v>
      </c>
      <c r="G319" s="58" t="b">
        <v>1</v>
      </c>
      <c r="H319" s="60" t="b">
        <v>0</v>
      </c>
      <c r="I319" s="65">
        <f t="shared" si="13"/>
        <v>46402</v>
      </c>
      <c r="J319" s="158" t="s">
        <v>817</v>
      </c>
    </row>
    <row r="320">
      <c r="A320" s="28">
        <v>318.0</v>
      </c>
      <c r="B320" s="42" t="s">
        <v>1296</v>
      </c>
      <c r="C320" s="182">
        <v>1351.0</v>
      </c>
      <c r="D320" s="53">
        <f t="shared" si="14"/>
        <v>260</v>
      </c>
      <c r="E320" s="80"/>
      <c r="F320" s="55">
        <v>46218.0</v>
      </c>
      <c r="G320" s="58" t="b">
        <v>1</v>
      </c>
      <c r="H320" s="60" t="b">
        <v>0</v>
      </c>
      <c r="I320" s="65">
        <f t="shared" si="13"/>
        <v>46402</v>
      </c>
      <c r="J320" s="158" t="s">
        <v>817</v>
      </c>
    </row>
    <row r="321">
      <c r="A321" s="28">
        <v>319.0</v>
      </c>
      <c r="B321" s="42" t="s">
        <v>1298</v>
      </c>
      <c r="C321" s="182">
        <v>1352.0</v>
      </c>
      <c r="D321" s="53">
        <v>260.0</v>
      </c>
      <c r="E321" s="42"/>
      <c r="F321" s="160">
        <v>46219.0</v>
      </c>
      <c r="G321" s="58" t="b">
        <v>1</v>
      </c>
      <c r="H321" s="60" t="b">
        <v>0</v>
      </c>
      <c r="I321" s="65">
        <v>46404.0</v>
      </c>
      <c r="J321" s="158" t="s">
        <v>817</v>
      </c>
    </row>
    <row r="322">
      <c r="A322" s="28">
        <v>320.0</v>
      </c>
      <c r="B322" s="42" t="s">
        <v>1300</v>
      </c>
      <c r="C322" s="182">
        <v>1353.0</v>
      </c>
      <c r="D322" s="53">
        <f>IF(B322="","",260)</f>
        <v>260</v>
      </c>
      <c r="E322" s="80"/>
      <c r="F322" s="55">
        <v>46219.0</v>
      </c>
      <c r="G322" s="58" t="b">
        <v>1</v>
      </c>
      <c r="H322" s="60" t="b">
        <v>0</v>
      </c>
      <c r="I322" s="65">
        <f t="shared" ref="I322:I358" si="15">IF(F322="","",EDATE(F322,6))</f>
        <v>46403</v>
      </c>
      <c r="J322" s="158" t="s">
        <v>817</v>
      </c>
    </row>
    <row r="323">
      <c r="A323" s="28">
        <v>321.0</v>
      </c>
      <c r="B323" s="42" t="s">
        <v>1306</v>
      </c>
      <c r="C323" s="182">
        <v>1354.0</v>
      </c>
      <c r="D323" s="53">
        <v>260.0</v>
      </c>
      <c r="E323" s="80"/>
      <c r="F323" s="185">
        <v>46220.0</v>
      </c>
      <c r="G323" s="58" t="b">
        <v>1</v>
      </c>
      <c r="H323" s="60" t="b">
        <v>1</v>
      </c>
      <c r="I323" s="65">
        <f t="shared" si="15"/>
        <v>46404</v>
      </c>
      <c r="J323" s="54" t="s">
        <v>36</v>
      </c>
    </row>
    <row r="324">
      <c r="A324" s="28">
        <v>322.0</v>
      </c>
      <c r="B324" s="42" t="s">
        <v>1309</v>
      </c>
      <c r="C324" s="182">
        <v>1355.0</v>
      </c>
      <c r="D324" s="53">
        <f t="shared" ref="D324:D325" si="16">IF(B324="","",260)</f>
        <v>260</v>
      </c>
      <c r="E324" s="80"/>
      <c r="F324" s="55">
        <v>46223.0</v>
      </c>
      <c r="G324" s="58" t="b">
        <v>1</v>
      </c>
      <c r="H324" s="60" t="b">
        <v>0</v>
      </c>
      <c r="I324" s="65">
        <f t="shared" si="15"/>
        <v>46407</v>
      </c>
      <c r="J324" s="158" t="s">
        <v>817</v>
      </c>
    </row>
    <row r="325">
      <c r="A325" s="28">
        <v>323.0</v>
      </c>
      <c r="B325" s="42" t="s">
        <v>1313</v>
      </c>
      <c r="C325" s="182">
        <v>1356.0</v>
      </c>
      <c r="D325" s="53">
        <f t="shared" si="16"/>
        <v>260</v>
      </c>
      <c r="E325" s="80"/>
      <c r="F325" s="55">
        <v>46225.0</v>
      </c>
      <c r="G325" s="58" t="b">
        <v>1</v>
      </c>
      <c r="H325" s="60" t="b">
        <v>0</v>
      </c>
      <c r="I325" s="65">
        <f t="shared" si="15"/>
        <v>46409</v>
      </c>
      <c r="J325" s="158" t="s">
        <v>817</v>
      </c>
    </row>
    <row r="326">
      <c r="A326" s="28">
        <v>324.0</v>
      </c>
      <c r="B326" s="42" t="s">
        <v>1314</v>
      </c>
      <c r="C326" s="182">
        <v>1357.0</v>
      </c>
      <c r="D326" s="53">
        <v>260.0</v>
      </c>
      <c r="E326" s="80"/>
      <c r="F326" s="55">
        <v>46226.0</v>
      </c>
      <c r="G326" s="58" t="b">
        <v>1</v>
      </c>
      <c r="H326" s="60" t="b">
        <v>0</v>
      </c>
      <c r="I326" s="65">
        <f t="shared" si="15"/>
        <v>46410</v>
      </c>
      <c r="J326" s="158" t="s">
        <v>817</v>
      </c>
    </row>
    <row r="327">
      <c r="A327" s="28">
        <v>325.0</v>
      </c>
      <c r="B327" s="42" t="s">
        <v>1314</v>
      </c>
      <c r="C327" s="182">
        <v>1358.0</v>
      </c>
      <c r="D327" s="53">
        <f t="shared" ref="D327:D330" si="17">IF(B327="","",260)</f>
        <v>260</v>
      </c>
      <c r="E327" s="80"/>
      <c r="F327" s="185">
        <v>46226.0</v>
      </c>
      <c r="G327" s="58" t="b">
        <v>1</v>
      </c>
      <c r="H327" s="60" t="b">
        <v>0</v>
      </c>
      <c r="I327" s="65">
        <f t="shared" si="15"/>
        <v>46410</v>
      </c>
      <c r="J327" s="158" t="s">
        <v>817</v>
      </c>
    </row>
    <row r="328">
      <c r="A328" s="28">
        <v>326.0</v>
      </c>
      <c r="B328" s="42" t="s">
        <v>1320</v>
      </c>
      <c r="C328" s="182">
        <v>1359.0</v>
      </c>
      <c r="D328" s="53">
        <f t="shared" si="17"/>
        <v>260</v>
      </c>
      <c r="E328" s="80"/>
      <c r="F328" s="185">
        <v>46226.0</v>
      </c>
      <c r="G328" s="58" t="b">
        <v>1</v>
      </c>
      <c r="H328" s="60" t="b">
        <v>0</v>
      </c>
      <c r="I328" s="65">
        <f t="shared" si="15"/>
        <v>46410</v>
      </c>
      <c r="J328" s="158" t="s">
        <v>817</v>
      </c>
    </row>
    <row r="329">
      <c r="A329" s="28">
        <v>327.0</v>
      </c>
      <c r="B329" s="42" t="s">
        <v>1323</v>
      </c>
      <c r="C329" s="182">
        <v>1360.0</v>
      </c>
      <c r="D329" s="53">
        <f t="shared" si="17"/>
        <v>260</v>
      </c>
      <c r="E329" s="80"/>
      <c r="F329" s="55">
        <v>46226.0</v>
      </c>
      <c r="G329" s="58" t="b">
        <v>1</v>
      </c>
      <c r="H329" s="60" t="b">
        <v>0</v>
      </c>
      <c r="I329" s="65">
        <f t="shared" si="15"/>
        <v>46410</v>
      </c>
      <c r="J329" s="158" t="s">
        <v>817</v>
      </c>
    </row>
    <row r="330">
      <c r="A330" s="28">
        <v>328.0</v>
      </c>
      <c r="B330" s="42" t="s">
        <v>1326</v>
      </c>
      <c r="C330" s="182">
        <v>1361.0</v>
      </c>
      <c r="D330" s="53">
        <f t="shared" si="17"/>
        <v>260</v>
      </c>
      <c r="E330" s="80"/>
      <c r="F330" s="55">
        <v>46227.0</v>
      </c>
      <c r="G330" s="58" t="b">
        <v>1</v>
      </c>
      <c r="H330" s="60" t="b">
        <v>0</v>
      </c>
      <c r="I330" s="65">
        <f t="shared" si="15"/>
        <v>46411</v>
      </c>
      <c r="J330" s="158" t="s">
        <v>817</v>
      </c>
    </row>
    <row r="331">
      <c r="A331" s="28">
        <v>329.0</v>
      </c>
      <c r="B331" s="42" t="s">
        <v>1328</v>
      </c>
      <c r="C331" s="182">
        <v>1362.0</v>
      </c>
      <c r="D331" s="53">
        <v>260.0</v>
      </c>
      <c r="E331" s="80"/>
      <c r="F331" s="55">
        <v>46607.0</v>
      </c>
      <c r="G331" s="58" t="b">
        <v>1</v>
      </c>
      <c r="H331" s="60" t="b">
        <v>1</v>
      </c>
      <c r="I331" s="65">
        <f t="shared" si="15"/>
        <v>46791</v>
      </c>
      <c r="J331" s="54" t="s">
        <v>36</v>
      </c>
    </row>
    <row r="332">
      <c r="A332" s="28">
        <v>330.0</v>
      </c>
      <c r="B332" s="42" t="s">
        <v>1331</v>
      </c>
      <c r="C332" s="182">
        <v>1363.0</v>
      </c>
      <c r="D332" s="53">
        <f t="shared" ref="D332:D358" si="18">IF(B332="","",260)</f>
        <v>260</v>
      </c>
      <c r="E332" s="80"/>
      <c r="F332" s="55">
        <v>46227.0</v>
      </c>
      <c r="G332" s="58" t="b">
        <v>1</v>
      </c>
      <c r="H332" s="60" t="b">
        <v>0</v>
      </c>
      <c r="I332" s="65">
        <f t="shared" si="15"/>
        <v>46411</v>
      </c>
      <c r="J332" s="158" t="s">
        <v>817</v>
      </c>
    </row>
    <row r="333">
      <c r="A333" s="28">
        <v>331.0</v>
      </c>
      <c r="B333" s="42" t="s">
        <v>1336</v>
      </c>
      <c r="C333" s="182">
        <v>1364.0</v>
      </c>
      <c r="D333" s="53">
        <f t="shared" si="18"/>
        <v>260</v>
      </c>
      <c r="E333" s="80"/>
      <c r="F333" s="55">
        <v>46228.0</v>
      </c>
      <c r="G333" s="58" t="b">
        <v>1</v>
      </c>
      <c r="H333" s="60" t="b">
        <v>0</v>
      </c>
      <c r="I333" s="65">
        <f t="shared" si="15"/>
        <v>46412</v>
      </c>
      <c r="J333" s="158" t="s">
        <v>817</v>
      </c>
    </row>
    <row r="334">
      <c r="A334" s="28">
        <v>332.0</v>
      </c>
      <c r="B334" s="42" t="s">
        <v>1341</v>
      </c>
      <c r="C334" s="182">
        <v>1365.0</v>
      </c>
      <c r="D334" s="53">
        <f t="shared" si="18"/>
        <v>260</v>
      </c>
      <c r="E334" s="80"/>
      <c r="F334" s="55">
        <v>46232.0</v>
      </c>
      <c r="G334" s="58" t="b">
        <v>1</v>
      </c>
      <c r="H334" s="60" t="b">
        <v>0</v>
      </c>
      <c r="I334" s="65">
        <f t="shared" si="15"/>
        <v>46416</v>
      </c>
      <c r="J334" s="158" t="s">
        <v>817</v>
      </c>
    </row>
    <row r="335">
      <c r="A335" s="28">
        <v>333.0</v>
      </c>
      <c r="B335" s="42" t="s">
        <v>1345</v>
      </c>
      <c r="C335" s="182">
        <v>1366.0</v>
      </c>
      <c r="D335" s="53">
        <f t="shared" si="18"/>
        <v>260</v>
      </c>
      <c r="E335" s="80"/>
      <c r="F335" s="55">
        <v>46232.0</v>
      </c>
      <c r="G335" s="58" t="b">
        <v>1</v>
      </c>
      <c r="H335" s="60" t="b">
        <v>1</v>
      </c>
      <c r="I335" s="65">
        <f t="shared" si="15"/>
        <v>46416</v>
      </c>
      <c r="J335" s="54" t="s">
        <v>36</v>
      </c>
    </row>
    <row r="336">
      <c r="A336" s="28">
        <v>334.0</v>
      </c>
      <c r="B336" s="42" t="s">
        <v>1347</v>
      </c>
      <c r="C336" s="182">
        <v>1367.0</v>
      </c>
      <c r="D336" s="53">
        <f t="shared" si="18"/>
        <v>260</v>
      </c>
      <c r="E336" s="80"/>
      <c r="F336" s="55">
        <v>46234.0</v>
      </c>
      <c r="G336" s="58" t="b">
        <v>1</v>
      </c>
      <c r="H336" s="60" t="b">
        <v>0</v>
      </c>
      <c r="I336" s="65">
        <f t="shared" si="15"/>
        <v>46418</v>
      </c>
      <c r="J336" s="158" t="s">
        <v>817</v>
      </c>
    </row>
    <row r="337">
      <c r="A337" s="28">
        <v>335.0</v>
      </c>
      <c r="B337" s="42" t="s">
        <v>1207</v>
      </c>
      <c r="C337" s="182">
        <v>1368.0</v>
      </c>
      <c r="D337" s="53">
        <f t="shared" si="18"/>
        <v>260</v>
      </c>
      <c r="E337" s="80"/>
      <c r="F337" s="55">
        <v>46235.0</v>
      </c>
      <c r="G337" s="58" t="b">
        <v>1</v>
      </c>
      <c r="H337" s="60" t="b">
        <v>0</v>
      </c>
      <c r="I337" s="65">
        <f t="shared" si="15"/>
        <v>46419</v>
      </c>
      <c r="J337" s="158" t="s">
        <v>817</v>
      </c>
    </row>
    <row r="338">
      <c r="A338" s="28">
        <v>336.0</v>
      </c>
      <c r="B338" s="42" t="s">
        <v>1352</v>
      </c>
      <c r="C338" s="182">
        <v>1369.0</v>
      </c>
      <c r="D338" s="53">
        <f t="shared" si="18"/>
        <v>260</v>
      </c>
      <c r="E338" s="42"/>
      <c r="F338" s="55">
        <v>46241.0</v>
      </c>
      <c r="G338" s="58" t="b">
        <v>1</v>
      </c>
      <c r="H338" s="60" t="b">
        <v>0</v>
      </c>
      <c r="I338" s="65">
        <f t="shared" si="15"/>
        <v>46425</v>
      </c>
      <c r="J338" s="158" t="s">
        <v>817</v>
      </c>
    </row>
    <row r="339">
      <c r="A339" s="28">
        <v>337.0</v>
      </c>
      <c r="B339" s="42" t="s">
        <v>1355</v>
      </c>
      <c r="C339" s="182">
        <v>1370.0</v>
      </c>
      <c r="D339" s="53">
        <f t="shared" si="18"/>
        <v>260</v>
      </c>
      <c r="E339" s="80"/>
      <c r="F339" s="55">
        <v>46244.0</v>
      </c>
      <c r="G339" s="58" t="b">
        <v>1</v>
      </c>
      <c r="H339" s="60" t="b">
        <v>0</v>
      </c>
      <c r="I339" s="65">
        <f t="shared" si="15"/>
        <v>46428</v>
      </c>
      <c r="J339" s="158" t="s">
        <v>817</v>
      </c>
    </row>
    <row r="340">
      <c r="A340" s="28">
        <v>338.0</v>
      </c>
      <c r="B340" s="169" t="s">
        <v>1357</v>
      </c>
      <c r="C340" s="195">
        <v>1371.0</v>
      </c>
      <c r="D340" s="196">
        <f t="shared" si="18"/>
        <v>260</v>
      </c>
      <c r="E340" s="169" t="s">
        <v>1360</v>
      </c>
      <c r="F340" s="55">
        <v>46244.0</v>
      </c>
      <c r="G340" s="58"/>
      <c r="H340" s="60"/>
      <c r="I340" s="65">
        <f t="shared" si="15"/>
        <v>46428</v>
      </c>
      <c r="J340" s="54" t="s">
        <v>36</v>
      </c>
    </row>
    <row r="341">
      <c r="A341" s="28">
        <v>339.0</v>
      </c>
      <c r="B341" s="42" t="s">
        <v>1362</v>
      </c>
      <c r="C341" s="182">
        <v>1372.0</v>
      </c>
      <c r="D341" s="53">
        <f t="shared" si="18"/>
        <v>260</v>
      </c>
      <c r="E341" s="80"/>
      <c r="F341" s="55">
        <v>46245.0</v>
      </c>
      <c r="G341" s="58" t="b">
        <v>1</v>
      </c>
      <c r="H341" s="60" t="b">
        <v>0</v>
      </c>
      <c r="I341" s="65">
        <f t="shared" si="15"/>
        <v>46429</v>
      </c>
      <c r="J341" s="158" t="s">
        <v>817</v>
      </c>
    </row>
    <row r="342">
      <c r="A342" s="28">
        <v>340.0</v>
      </c>
      <c r="B342" s="42" t="s">
        <v>1366</v>
      </c>
      <c r="C342" s="182">
        <v>1373.0</v>
      </c>
      <c r="D342" s="53">
        <f t="shared" si="18"/>
        <v>260</v>
      </c>
      <c r="E342" s="80"/>
      <c r="F342" s="55">
        <v>46246.0</v>
      </c>
      <c r="G342" s="58" t="b">
        <v>1</v>
      </c>
      <c r="H342" s="60" t="b">
        <v>0</v>
      </c>
      <c r="I342" s="65">
        <f t="shared" si="15"/>
        <v>46430</v>
      </c>
      <c r="J342" s="158" t="s">
        <v>817</v>
      </c>
    </row>
    <row r="343">
      <c r="A343" s="28">
        <v>341.0</v>
      </c>
      <c r="B343" s="42" t="s">
        <v>1368</v>
      </c>
      <c r="C343" s="182">
        <v>1374.0</v>
      </c>
      <c r="D343" s="53">
        <f t="shared" si="18"/>
        <v>260</v>
      </c>
      <c r="E343" s="80"/>
      <c r="F343" s="55">
        <v>46246.0</v>
      </c>
      <c r="G343" s="58" t="b">
        <v>1</v>
      </c>
      <c r="H343" s="60" t="b">
        <v>0</v>
      </c>
      <c r="I343" s="65">
        <f t="shared" si="15"/>
        <v>46430</v>
      </c>
      <c r="J343" s="158" t="s">
        <v>817</v>
      </c>
    </row>
    <row r="344">
      <c r="A344" s="28">
        <v>342.0</v>
      </c>
      <c r="B344" s="42"/>
      <c r="C344" s="182"/>
      <c r="D344" s="53" t="str">
        <f t="shared" si="18"/>
        <v/>
      </c>
      <c r="E344" s="80"/>
      <c r="F344" s="55"/>
      <c r="G344" s="58" t="b">
        <v>0</v>
      </c>
      <c r="H344" s="60" t="b">
        <v>0</v>
      </c>
      <c r="I344" s="65" t="str">
        <f t="shared" si="15"/>
        <v/>
      </c>
      <c r="J344" s="180"/>
    </row>
    <row r="345">
      <c r="A345" s="28">
        <v>343.0</v>
      </c>
      <c r="B345" s="42"/>
      <c r="C345" s="182"/>
      <c r="D345" s="53" t="str">
        <f t="shared" si="18"/>
        <v/>
      </c>
      <c r="E345" s="80"/>
      <c r="F345" s="55"/>
      <c r="G345" s="58" t="b">
        <v>0</v>
      </c>
      <c r="H345" s="60" t="b">
        <v>0</v>
      </c>
      <c r="I345" s="65" t="str">
        <f t="shared" si="15"/>
        <v/>
      </c>
      <c r="J345" s="180"/>
    </row>
    <row r="346">
      <c r="A346" s="28">
        <v>344.0</v>
      </c>
      <c r="B346" s="42"/>
      <c r="C346" s="182"/>
      <c r="D346" s="53" t="str">
        <f t="shared" si="18"/>
        <v/>
      </c>
      <c r="E346" s="42"/>
      <c r="F346" s="55"/>
      <c r="G346" s="58" t="b">
        <v>0</v>
      </c>
      <c r="H346" s="60" t="b">
        <v>0</v>
      </c>
      <c r="I346" s="65" t="str">
        <f t="shared" si="15"/>
        <v/>
      </c>
      <c r="J346" s="180"/>
    </row>
    <row r="347">
      <c r="A347" s="28">
        <v>345.0</v>
      </c>
      <c r="B347" s="42"/>
      <c r="C347" s="182"/>
      <c r="D347" s="53" t="str">
        <f t="shared" si="18"/>
        <v/>
      </c>
      <c r="E347" s="80"/>
      <c r="F347" s="55"/>
      <c r="G347" s="58" t="b">
        <v>0</v>
      </c>
      <c r="H347" s="60" t="b">
        <v>0</v>
      </c>
      <c r="I347" s="65" t="str">
        <f t="shared" si="15"/>
        <v/>
      </c>
      <c r="J347" s="42"/>
    </row>
    <row r="348">
      <c r="A348" s="28">
        <v>346.0</v>
      </c>
      <c r="B348" s="42"/>
      <c r="C348" s="182"/>
      <c r="D348" s="53" t="str">
        <f t="shared" si="18"/>
        <v/>
      </c>
      <c r="E348" s="80"/>
      <c r="F348" s="55"/>
      <c r="G348" s="58" t="b">
        <v>0</v>
      </c>
      <c r="H348" s="60" t="b">
        <v>0</v>
      </c>
      <c r="I348" s="65" t="str">
        <f t="shared" si="15"/>
        <v/>
      </c>
      <c r="J348" s="180"/>
    </row>
    <row r="349">
      <c r="A349" s="28">
        <v>347.0</v>
      </c>
      <c r="B349" s="42"/>
      <c r="C349" s="182"/>
      <c r="D349" s="53" t="str">
        <f t="shared" si="18"/>
        <v/>
      </c>
      <c r="E349" s="80"/>
      <c r="F349" s="55"/>
      <c r="G349" s="58" t="b">
        <v>0</v>
      </c>
      <c r="H349" s="60" t="b">
        <v>0</v>
      </c>
      <c r="I349" s="65" t="str">
        <f t="shared" si="15"/>
        <v/>
      </c>
      <c r="J349" s="180"/>
    </row>
    <row r="350">
      <c r="A350" s="28">
        <v>348.0</v>
      </c>
      <c r="B350" s="42"/>
      <c r="C350" s="182"/>
      <c r="D350" s="53" t="str">
        <f t="shared" si="18"/>
        <v/>
      </c>
      <c r="E350" s="80"/>
      <c r="F350" s="55"/>
      <c r="G350" s="58" t="b">
        <v>0</v>
      </c>
      <c r="H350" s="60" t="b">
        <v>0</v>
      </c>
      <c r="I350" s="65" t="str">
        <f t="shared" si="15"/>
        <v/>
      </c>
      <c r="J350" s="180"/>
    </row>
    <row r="351">
      <c r="A351" s="197"/>
      <c r="B351" s="42"/>
      <c r="C351" s="182"/>
      <c r="D351" s="53" t="str">
        <f t="shared" si="18"/>
        <v/>
      </c>
      <c r="E351" s="80"/>
      <c r="F351" s="55"/>
      <c r="G351" s="58" t="b">
        <v>0</v>
      </c>
      <c r="H351" s="60" t="b">
        <v>0</v>
      </c>
      <c r="I351" s="65" t="str">
        <f t="shared" si="15"/>
        <v/>
      </c>
      <c r="J351" s="180"/>
    </row>
    <row r="352">
      <c r="A352" s="197"/>
      <c r="B352" s="42"/>
      <c r="C352" s="182"/>
      <c r="D352" s="53" t="str">
        <f t="shared" si="18"/>
        <v/>
      </c>
      <c r="E352" s="80"/>
      <c r="F352" s="55"/>
      <c r="G352" s="58" t="b">
        <v>0</v>
      </c>
      <c r="H352" s="60" t="b">
        <v>0</v>
      </c>
      <c r="I352" s="65" t="str">
        <f t="shared" si="15"/>
        <v/>
      </c>
      <c r="J352" s="180"/>
    </row>
    <row r="353">
      <c r="A353" s="197"/>
      <c r="B353" s="42"/>
      <c r="C353" s="182"/>
      <c r="D353" s="53" t="str">
        <f t="shared" si="18"/>
        <v/>
      </c>
      <c r="E353" s="80"/>
      <c r="F353" s="55"/>
      <c r="G353" s="58" t="b">
        <v>0</v>
      </c>
      <c r="H353" s="60" t="b">
        <v>0</v>
      </c>
      <c r="I353" s="65" t="str">
        <f t="shared" si="15"/>
        <v/>
      </c>
      <c r="J353" s="180"/>
    </row>
    <row r="354">
      <c r="A354" s="197"/>
      <c r="B354" s="42"/>
      <c r="C354" s="182"/>
      <c r="D354" s="53" t="str">
        <f t="shared" si="18"/>
        <v/>
      </c>
      <c r="E354" s="80"/>
      <c r="F354" s="55"/>
      <c r="G354" s="58" t="b">
        <v>0</v>
      </c>
      <c r="H354" s="60" t="b">
        <v>0</v>
      </c>
      <c r="I354" s="65" t="str">
        <f t="shared" si="15"/>
        <v/>
      </c>
      <c r="J354" s="180"/>
    </row>
    <row r="355">
      <c r="A355" s="197"/>
      <c r="B355" s="42"/>
      <c r="C355" s="182"/>
      <c r="D355" s="53" t="str">
        <f t="shared" si="18"/>
        <v/>
      </c>
      <c r="E355" s="80"/>
      <c r="F355" s="55"/>
      <c r="G355" s="58" t="b">
        <v>0</v>
      </c>
      <c r="H355" s="60" t="b">
        <v>0</v>
      </c>
      <c r="I355" s="65" t="str">
        <f t="shared" si="15"/>
        <v/>
      </c>
      <c r="J355" s="180"/>
    </row>
    <row r="356">
      <c r="A356" s="197"/>
      <c r="B356" s="42"/>
      <c r="C356" s="182"/>
      <c r="D356" s="53" t="str">
        <f t="shared" si="18"/>
        <v/>
      </c>
      <c r="E356" s="80"/>
      <c r="F356" s="55"/>
      <c r="G356" s="58" t="b">
        <v>0</v>
      </c>
      <c r="H356" s="60" t="b">
        <v>0</v>
      </c>
      <c r="I356" s="65" t="str">
        <f t="shared" si="15"/>
        <v/>
      </c>
      <c r="J356" s="180"/>
    </row>
    <row r="357">
      <c r="A357" s="197"/>
      <c r="B357" s="42"/>
      <c r="C357" s="182"/>
      <c r="D357" s="53" t="str">
        <f t="shared" si="18"/>
        <v/>
      </c>
      <c r="E357" s="42"/>
      <c r="F357" s="55"/>
      <c r="G357" s="58" t="b">
        <v>0</v>
      </c>
      <c r="H357" s="60" t="b">
        <v>0</v>
      </c>
      <c r="I357" s="65" t="str">
        <f t="shared" si="15"/>
        <v/>
      </c>
      <c r="J357" s="180"/>
    </row>
    <row r="358">
      <c r="A358" s="197"/>
      <c r="B358" s="42"/>
      <c r="C358" s="182"/>
      <c r="D358" s="53" t="str">
        <f t="shared" si="18"/>
        <v/>
      </c>
      <c r="E358" s="80"/>
      <c r="F358" s="55"/>
      <c r="G358" s="58" t="b">
        <v>0</v>
      </c>
      <c r="H358" s="60" t="b">
        <v>0</v>
      </c>
      <c r="I358" s="65" t="str">
        <f t="shared" si="15"/>
        <v/>
      </c>
      <c r="J358" s="180"/>
    </row>
  </sheetData>
  <mergeCells count="1">
    <mergeCell ref="F1:I1"/>
  </mergeCells>
  <conditionalFormatting sqref="F1:F358">
    <cfRule type="expression" dxfId="0" priority="1">
      <formula>H:H=TRUE</formula>
    </cfRule>
  </conditionalFormatting>
  <conditionalFormatting sqref="G2:G358 A296 H296">
    <cfRule type="expression" dxfId="0" priority="2">
      <formula>H:H=TRUE</formula>
    </cfRule>
  </conditionalFormatting>
  <conditionalFormatting sqref="G2:G358 A296 H296">
    <cfRule type="expression" dxfId="1" priority="3">
      <formula>G:G=TRUE</formula>
    </cfRule>
  </conditionalFormatting>
  <conditionalFormatting sqref="G2:G358 A296 H296">
    <cfRule type="expression" dxfId="2" priority="4">
      <formula>G:G=FALSE</formula>
    </cfRule>
  </conditionalFormatting>
  <conditionalFormatting sqref="D1:D358">
    <cfRule type="expression" dxfId="0" priority="5">
      <formula>H:H=TRUE</formula>
    </cfRule>
  </conditionalFormatting>
  <conditionalFormatting sqref="E1:E358">
    <cfRule type="expression" dxfId="0" priority="6">
      <formula>H:H=TRUE</formula>
    </cfRule>
  </conditionalFormatting>
  <conditionalFormatting sqref="A1:A358">
    <cfRule type="expression" dxfId="0" priority="7">
      <formula>H:H=TRUE</formula>
    </cfRule>
  </conditionalFormatting>
  <conditionalFormatting sqref="B1:B358">
    <cfRule type="expression" dxfId="0" priority="8">
      <formula>H:H=TRUE</formula>
    </cfRule>
  </conditionalFormatting>
  <conditionalFormatting sqref="C2:C358 E263">
    <cfRule type="expression" dxfId="0" priority="9">
      <formula>H:H=TRUE</formula>
    </cfRule>
  </conditionalFormatting>
  <conditionalFormatting sqref="I3:J358">
    <cfRule type="expression" dxfId="0" priority="10">
      <formula>H:H=TRUE</formula>
    </cfRule>
  </conditionalFormatting>
  <conditionalFormatting sqref="H3:H358">
    <cfRule type="expression" dxfId="0" priority="11">
      <formula>H:H=TRUE</formula>
    </cfRule>
  </conditionalFormatting>
  <conditionalFormatting sqref="H3:H358">
    <cfRule type="expression" dxfId="2" priority="12">
      <formula>H:H=FALSE</formula>
    </cfRule>
  </conditionalFormatting>
  <conditionalFormatting sqref="I3:J358">
    <cfRule type="expression" dxfId="5" priority="13">
      <formula>AND(ISNUMBER(I3),TRUNC(I3)&lt;TODAY())</formula>
    </cfRule>
  </conditionalFormatting>
  <conditionalFormatting sqref="J1:J358">
    <cfRule type="containsText" dxfId="4" priority="14" operator="containsText" text="SI">
      <formula>NOT(ISERROR(SEARCH(("SI"),(J1))))</formula>
    </cfRule>
  </conditionalFormatting>
  <conditionalFormatting sqref="J1:J358">
    <cfRule type="containsText" dxfId="3" priority="15" operator="containsText" text="NO">
      <formula>NOT(ISERROR(SEARCH(("NO"),(J1))))</formula>
    </cfRule>
  </conditionalFormatting>
  <hyperlinks>
    <hyperlink display="1,291" location="'OT PERSONALIZADAS'!G195" ref="C263"/>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outlinePr summaryBelow="0" summaryRight="0"/>
  </sheetPr>
  <sheetViews>
    <sheetView workbookViewId="0"/>
  </sheetViews>
  <sheetFormatPr customHeight="1" defaultColWidth="12.63" defaultRowHeight="15.75"/>
  <cols>
    <col customWidth="1" min="2" max="2" width="27.88"/>
  </cols>
  <sheetData>
    <row r="1">
      <c r="A1" s="12" t="s">
        <v>3</v>
      </c>
      <c r="B1" s="15"/>
      <c r="C1" s="15"/>
      <c r="D1" s="15"/>
      <c r="E1" s="19"/>
    </row>
    <row r="2">
      <c r="A2" s="22" t="s">
        <v>12</v>
      </c>
      <c r="B2" s="19"/>
      <c r="C2" s="25" t="s">
        <v>16</v>
      </c>
      <c r="D2" s="22" t="s">
        <v>20</v>
      </c>
      <c r="E2" s="19"/>
    </row>
    <row r="3">
      <c r="A3" s="32" t="s">
        <v>23</v>
      </c>
      <c r="B3" s="19"/>
      <c r="C3" s="37" t="s">
        <v>27</v>
      </c>
      <c r="D3" s="41" t="s">
        <v>28</v>
      </c>
      <c r="E3" s="19"/>
    </row>
    <row r="4">
      <c r="A4" s="44" t="s">
        <v>29</v>
      </c>
      <c r="B4" s="19"/>
      <c r="C4" s="50" t="s">
        <v>30</v>
      </c>
      <c r="D4" s="44" t="s">
        <v>32</v>
      </c>
      <c r="E4" s="19"/>
    </row>
    <row r="5">
      <c r="A5" s="41" t="s">
        <v>34</v>
      </c>
      <c r="B5" s="19"/>
      <c r="C5" s="37" t="s">
        <v>27</v>
      </c>
      <c r="D5" s="41" t="s">
        <v>21</v>
      </c>
      <c r="E5" s="19"/>
    </row>
    <row r="6">
      <c r="A6" s="41" t="s">
        <v>38</v>
      </c>
      <c r="B6" s="19"/>
      <c r="C6" s="37" t="s">
        <v>39</v>
      </c>
      <c r="D6" s="41" t="s">
        <v>40</v>
      </c>
      <c r="E6" s="19"/>
    </row>
    <row r="7">
      <c r="A7" s="62"/>
      <c r="B7" s="19"/>
      <c r="C7" s="63"/>
      <c r="D7" s="63"/>
      <c r="E7" s="63"/>
    </row>
    <row r="8">
      <c r="A8" s="62"/>
      <c r="B8" s="19"/>
      <c r="C8" s="63"/>
      <c r="D8" s="63"/>
      <c r="E8" s="63"/>
    </row>
    <row r="9">
      <c r="A9" s="62"/>
      <c r="B9" s="19"/>
      <c r="C9" s="63"/>
      <c r="D9" s="63"/>
      <c r="E9" s="63"/>
    </row>
    <row r="10">
      <c r="A10" s="62"/>
      <c r="B10" s="19"/>
      <c r="C10" s="63"/>
      <c r="D10" s="63"/>
      <c r="E10" s="63"/>
    </row>
    <row r="11">
      <c r="A11" s="62"/>
      <c r="B11" s="19"/>
      <c r="C11" s="63"/>
      <c r="D11" s="63"/>
      <c r="E11" s="63"/>
    </row>
    <row r="12">
      <c r="A12" s="62"/>
      <c r="B12" s="19"/>
      <c r="C12" s="63"/>
      <c r="D12" s="63"/>
      <c r="E12" s="63"/>
    </row>
    <row r="13">
      <c r="A13" s="62"/>
      <c r="B13" s="19"/>
      <c r="C13" s="63"/>
      <c r="D13" s="63"/>
      <c r="E13" s="63"/>
    </row>
    <row r="14">
      <c r="A14" s="62"/>
      <c r="B14" s="19"/>
      <c r="C14" s="63"/>
      <c r="D14" s="63"/>
      <c r="E14" s="63"/>
    </row>
  </sheetData>
  <mergeCells count="19">
    <mergeCell ref="D4:E4"/>
    <mergeCell ref="D5:E5"/>
    <mergeCell ref="A1:E1"/>
    <mergeCell ref="A2:B2"/>
    <mergeCell ref="D2:E2"/>
    <mergeCell ref="A3:B3"/>
    <mergeCell ref="D3:E3"/>
    <mergeCell ref="A4:B4"/>
    <mergeCell ref="A5:B5"/>
    <mergeCell ref="A12:B12"/>
    <mergeCell ref="A13:B13"/>
    <mergeCell ref="A14:B14"/>
    <mergeCell ref="A6:B6"/>
    <mergeCell ref="D6:E6"/>
    <mergeCell ref="A7:B7"/>
    <mergeCell ref="A8:B8"/>
    <mergeCell ref="A9:B9"/>
    <mergeCell ref="A10:B10"/>
    <mergeCell ref="A11:B11"/>
  </mergeCells>
  <drawing r:id="rId1"/>
</worksheet>
</file>